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spolec-my.sharepoint.com/personal/dldiaz_espol_edu_ec/Documents/Ing. Software - G4/Tareas/"/>
    </mc:Choice>
  </mc:AlternateContent>
  <xr:revisionPtr revIDLastSave="209" documentId="11_14709EE266322EF994F6D2AD5C77E8FC05E813B8" xr6:coauthVersionLast="47" xr6:coauthVersionMax="47" xr10:uidLastSave="{643F69CB-E5D0-4BAA-99E1-84749533C434}"/>
  <bookViews>
    <workbookView xWindow="-120" yWindow="-120" windowWidth="20640" windowHeight="11040" activeTab="5" xr2:uid="{00000000-000D-0000-FFFF-FFFF00000000}"/>
  </bookViews>
  <sheets>
    <sheet name="Resumen" sheetId="1" r:id="rId1"/>
    <sheet name="Gestor" sheetId="2" r:id="rId2"/>
    <sheet name="Cliente" sheetId="3" r:id="rId3"/>
    <sheet name="Administrador" sheetId="4" r:id="rId4"/>
    <sheet name="Organización" sheetId="5" r:id="rId5"/>
    <sheet name="Leodeguita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5" l="1"/>
  <c r="L29" i="5"/>
  <c r="K29" i="5"/>
  <c r="J29" i="5"/>
  <c r="N28" i="5"/>
  <c r="N27" i="5"/>
  <c r="N26" i="5"/>
  <c r="N25" i="5"/>
  <c r="N24" i="5"/>
  <c r="N23" i="5"/>
  <c r="N29" i="5" s="1"/>
  <c r="M22" i="5"/>
  <c r="L22" i="5"/>
  <c r="K22" i="5"/>
  <c r="J22" i="5"/>
  <c r="N21" i="5"/>
  <c r="N20" i="5"/>
  <c r="N19" i="5"/>
  <c r="M18" i="5"/>
  <c r="L18" i="5"/>
  <c r="K18" i="5"/>
  <c r="J18" i="5"/>
  <c r="N17" i="5"/>
  <c r="N16" i="5"/>
  <c r="N15" i="5"/>
  <c r="M14" i="5"/>
  <c r="L14" i="5"/>
  <c r="L30" i="5" s="1"/>
  <c r="E8" i="1" s="1"/>
  <c r="K14" i="5"/>
  <c r="J14" i="5"/>
  <c r="N13" i="5"/>
  <c r="N12" i="5"/>
  <c r="N11" i="5"/>
  <c r="N10" i="5"/>
  <c r="N9" i="5"/>
  <c r="N8" i="5"/>
  <c r="M23" i="4"/>
  <c r="L23" i="4"/>
  <c r="K23" i="4"/>
  <c r="J23" i="4"/>
  <c r="N22" i="4"/>
  <c r="N21" i="4"/>
  <c r="N20" i="4"/>
  <c r="M19" i="4"/>
  <c r="L19" i="4"/>
  <c r="K19" i="4"/>
  <c r="J19" i="4"/>
  <c r="N18" i="4"/>
  <c r="N17" i="4"/>
  <c r="N16" i="4"/>
  <c r="M15" i="4"/>
  <c r="L15" i="4"/>
  <c r="K15" i="4"/>
  <c r="J15" i="4"/>
  <c r="N14" i="4"/>
  <c r="N13" i="4"/>
  <c r="N12" i="4"/>
  <c r="N15" i="4" s="1"/>
  <c r="M11" i="4"/>
  <c r="L11" i="4"/>
  <c r="L24" i="4" s="1"/>
  <c r="E7" i="1" s="1"/>
  <c r="K11" i="4"/>
  <c r="K24" i="4" s="1"/>
  <c r="D7" i="1" s="1"/>
  <c r="J11" i="4"/>
  <c r="N10" i="4"/>
  <c r="N9" i="4"/>
  <c r="N8" i="4"/>
  <c r="N11" i="4" s="1"/>
  <c r="Q56" i="3"/>
  <c r="P56" i="3"/>
  <c r="O56" i="3"/>
  <c r="N56" i="3"/>
  <c r="R55" i="3"/>
  <c r="R54" i="3"/>
  <c r="R53" i="3"/>
  <c r="Q52" i="3"/>
  <c r="P52" i="3"/>
  <c r="O52" i="3"/>
  <c r="N52" i="3"/>
  <c r="R51" i="3"/>
  <c r="R50" i="3"/>
  <c r="R49" i="3"/>
  <c r="R48" i="3"/>
  <c r="R47" i="3"/>
  <c r="R46" i="3"/>
  <c r="R45" i="3"/>
  <c r="R44" i="3"/>
  <c r="R43" i="3"/>
  <c r="R42" i="3"/>
  <c r="R41" i="3"/>
  <c r="R40" i="3"/>
  <c r="Q39" i="3"/>
  <c r="P39" i="3"/>
  <c r="O39" i="3"/>
  <c r="N39" i="3"/>
  <c r="R38" i="3"/>
  <c r="R37" i="3"/>
  <c r="R36" i="3"/>
  <c r="R35" i="3"/>
  <c r="R34" i="3"/>
  <c r="R33" i="3"/>
  <c r="Q32" i="3"/>
  <c r="P32" i="3"/>
  <c r="O32" i="3"/>
  <c r="N32" i="3"/>
  <c r="R31" i="3"/>
  <c r="R30" i="3"/>
  <c r="R29" i="3"/>
  <c r="R32" i="3" s="1"/>
  <c r="Q28" i="3"/>
  <c r="P28" i="3"/>
  <c r="O28" i="3"/>
  <c r="N28" i="3"/>
  <c r="R27" i="3"/>
  <c r="R26" i="3"/>
  <c r="R25" i="3"/>
  <c r="R24" i="3"/>
  <c r="R23" i="3"/>
  <c r="R22" i="3"/>
  <c r="Q21" i="3"/>
  <c r="P21" i="3"/>
  <c r="O21" i="3"/>
  <c r="N21" i="3"/>
  <c r="R20" i="3"/>
  <c r="R19" i="3"/>
  <c r="R18" i="3"/>
  <c r="R17" i="3"/>
  <c r="R16" i="3"/>
  <c r="R15" i="3"/>
  <c r="R21" i="3" s="1"/>
  <c r="Q14" i="3"/>
  <c r="P14" i="3"/>
  <c r="O14" i="3"/>
  <c r="N14" i="3"/>
  <c r="R13" i="3"/>
  <c r="R12" i="3"/>
  <c r="R11" i="3"/>
  <c r="R10" i="3"/>
  <c r="R9" i="3"/>
  <c r="R8" i="3"/>
  <c r="P35" i="2"/>
  <c r="O35" i="2"/>
  <c r="N35" i="2"/>
  <c r="M35" i="2"/>
  <c r="Q34" i="2"/>
  <c r="Q33" i="2"/>
  <c r="Q32" i="2"/>
  <c r="Q31" i="2"/>
  <c r="Q30" i="2"/>
  <c r="Q29" i="2"/>
  <c r="P28" i="2"/>
  <c r="O28" i="2"/>
  <c r="N28" i="2"/>
  <c r="M28" i="2"/>
  <c r="Q27" i="2"/>
  <c r="Q26" i="2"/>
  <c r="Q25" i="2"/>
  <c r="Q24" i="2"/>
  <c r="Q23" i="2"/>
  <c r="Q22" i="2"/>
  <c r="Q21" i="2"/>
  <c r="Q20" i="2"/>
  <c r="Q19" i="2"/>
  <c r="P18" i="2"/>
  <c r="O18" i="2"/>
  <c r="N18" i="2"/>
  <c r="M18" i="2"/>
  <c r="Q17" i="2"/>
  <c r="Q16" i="2"/>
  <c r="Q15" i="2"/>
  <c r="P14" i="2"/>
  <c r="O14" i="2"/>
  <c r="N14" i="2"/>
  <c r="M14" i="2"/>
  <c r="Q13" i="2"/>
  <c r="Q12" i="2"/>
  <c r="Q11" i="2"/>
  <c r="Q10" i="2"/>
  <c r="Q9" i="2"/>
  <c r="Q8" i="2"/>
  <c r="M29" i="6"/>
  <c r="L29" i="6"/>
  <c r="K29" i="6"/>
  <c r="J29" i="6"/>
  <c r="N28" i="6"/>
  <c r="N27" i="6"/>
  <c r="N26" i="6"/>
  <c r="N25" i="6"/>
  <c r="N24" i="6"/>
  <c r="N23" i="6"/>
  <c r="M22" i="6"/>
  <c r="L22" i="6"/>
  <c r="K22" i="6"/>
  <c r="J22" i="6"/>
  <c r="N21" i="6"/>
  <c r="N20" i="6"/>
  <c r="N19" i="6"/>
  <c r="N18" i="6"/>
  <c r="N17" i="6"/>
  <c r="N16" i="6"/>
  <c r="M15" i="6"/>
  <c r="L15" i="6"/>
  <c r="K15" i="6"/>
  <c r="J15" i="6"/>
  <c r="N14" i="6"/>
  <c r="N13" i="6"/>
  <c r="N12" i="6"/>
  <c r="N15" i="6" s="1"/>
  <c r="M11" i="6"/>
  <c r="L11" i="6"/>
  <c r="K11" i="6"/>
  <c r="K30" i="6" s="1"/>
  <c r="D9" i="1" s="1"/>
  <c r="J11" i="6"/>
  <c r="N10" i="6"/>
  <c r="N9" i="6"/>
  <c r="N8" i="6"/>
  <c r="N11" i="6" s="1"/>
  <c r="L30" i="6" l="1"/>
  <c r="E9" i="1" s="1"/>
  <c r="M30" i="6"/>
  <c r="F9" i="1" s="1"/>
  <c r="N22" i="6"/>
  <c r="N30" i="6"/>
  <c r="G9" i="1" s="1"/>
  <c r="J30" i="6"/>
  <c r="C9" i="1" s="1"/>
  <c r="N29" i="6"/>
  <c r="N22" i="5"/>
  <c r="N18" i="5"/>
  <c r="M30" i="5"/>
  <c r="F8" i="1" s="1"/>
  <c r="J30" i="5"/>
  <c r="C8" i="1" s="1"/>
  <c r="K30" i="5"/>
  <c r="D8" i="1" s="1"/>
  <c r="N14" i="5"/>
  <c r="N30" i="5" s="1"/>
  <c r="G8" i="1" s="1"/>
  <c r="N19" i="4"/>
  <c r="J24" i="4"/>
  <c r="C7" i="1" s="1"/>
  <c r="N23" i="4"/>
  <c r="N24" i="4" s="1"/>
  <c r="G7" i="1" s="1"/>
  <c r="M24" i="4"/>
  <c r="F7" i="1" s="1"/>
  <c r="R28" i="3"/>
  <c r="R39" i="3"/>
  <c r="N57" i="3"/>
  <c r="C6" i="1" s="1"/>
  <c r="O57" i="3"/>
  <c r="D6" i="1" s="1"/>
  <c r="P57" i="3"/>
  <c r="E6" i="1" s="1"/>
  <c r="Q57" i="3"/>
  <c r="F6" i="1" s="1"/>
  <c r="R52" i="3"/>
  <c r="R56" i="3"/>
  <c r="R14" i="3"/>
  <c r="R57" i="3" s="1"/>
  <c r="G6" i="1" s="1"/>
  <c r="Q18" i="2"/>
  <c r="Q35" i="2"/>
  <c r="Q14" i="2"/>
  <c r="Q28" i="2"/>
  <c r="M36" i="2"/>
  <c r="C5" i="1" s="1"/>
  <c r="N36" i="2"/>
  <c r="D5" i="1" s="1"/>
  <c r="O36" i="2"/>
  <c r="E5" i="1" s="1"/>
  <c r="P36" i="2"/>
  <c r="F5" i="1" s="1"/>
  <c r="E10" i="1" l="1"/>
  <c r="C10" i="1"/>
  <c r="D10" i="1"/>
  <c r="F10" i="1"/>
  <c r="Q36" i="2"/>
  <c r="G5" i="1" s="1"/>
  <c r="G10" i="1" s="1"/>
  <c r="H9" i="1" s="1"/>
  <c r="H5" i="1" l="1"/>
  <c r="H8" i="1"/>
  <c r="H7" i="1"/>
  <c r="H6" i="1"/>
</calcChain>
</file>

<file path=xl/sharedStrings.xml><?xml version="1.0" encoding="utf-8"?>
<sst xmlns="http://schemas.openxmlformats.org/spreadsheetml/2006/main" count="578" uniqueCount="392">
  <si>
    <t>Rol</t>
  </si>
  <si>
    <t>E</t>
  </si>
  <si>
    <t>X</t>
  </si>
  <si>
    <t>R</t>
  </si>
  <si>
    <t>W</t>
  </si>
  <si>
    <t>CFP</t>
  </si>
  <si>
    <t>% del total</t>
  </si>
  <si>
    <t>Gestor de bodega</t>
  </si>
  <si>
    <t>Cliente</t>
  </si>
  <si>
    <t>Administrador de plataforma</t>
  </si>
  <si>
    <t>Organización / Empresa</t>
  </si>
  <si>
    <t>Leodeguita (app móvil)</t>
  </si>
  <si>
    <t>100%</t>
  </si>
  <si>
    <t>•  E = Entrada · X = Salida · R = Lectura · W = Escritura. 1 movimiento de datos = 1 CFP (COSMIC Function Point).</t>
  </si>
  <si>
    <t>•  Unidad de análisis: un proceso funcional por escenario (S1, S2, S3) de cada Historia de Usuario.</t>
  </si>
  <si>
    <t>•  Los totales por componente y por rol son fórmulas que se recalculan si se modifica cualquier movimiento.</t>
  </si>
  <si>
    <t>•  Alcance: prototipo con pagos y endpoint de inventario simulados (los movimientos igual se contabilizan).</t>
  </si>
  <si>
    <t>Componentes</t>
  </si>
  <si>
    <t>Historia</t>
  </si>
  <si>
    <t>Procesos Funcionales</t>
  </si>
  <si>
    <t>Grupos de datos</t>
  </si>
  <si>
    <t>Metodología COSMIC</t>
  </si>
  <si>
    <t>G1
Bodega</t>
  </si>
  <si>
    <t>G2
Reserva</t>
  </si>
  <si>
    <t>G3
Consulta / mensaje</t>
  </si>
  <si>
    <t>G4
Contrato</t>
  </si>
  <si>
    <t>G5
Notificación</t>
  </si>
  <si>
    <t>G6
Chat</t>
  </si>
  <si>
    <t>G7
Permiso de bomberos</t>
  </si>
  <si>
    <t>Comunicación con clientes</t>
  </si>
  <si>
    <t>HUG-01 (S1)</t>
  </si>
  <si>
    <t>Recibir notificación de consulta previa</t>
  </si>
  <si>
    <t>HUG-01 (S2)</t>
  </si>
  <si>
    <t>Responder consulta previa</t>
  </si>
  <si>
    <t>HUG-01 (S3)</t>
  </si>
  <si>
    <t>Visualizar consultas pendientes</t>
  </si>
  <si>
    <t>HUG-03 (S1)</t>
  </si>
  <si>
    <t>Enviar mensaje en chat de contrato activo</t>
  </si>
  <si>
    <t>HUG-03 (S2)</t>
  </si>
  <si>
    <t>Recibir mensaje de cliente en chat activo</t>
  </si>
  <si>
    <t>HUG-03 (S3)</t>
  </si>
  <si>
    <t>Validar chat de contrato finalizado</t>
  </si>
  <si>
    <t>Total — Comunicación con clientes</t>
  </si>
  <si>
    <t>Notificaciones de pago y contratos</t>
  </si>
  <si>
    <t>HUG-02 (S1)</t>
  </si>
  <si>
    <t>Notificación de pago confirmado</t>
  </si>
  <si>
    <t>HUG-02 (S2)</t>
  </si>
  <si>
    <t>Liberación por no pago</t>
  </si>
  <si>
    <t>HUG-02 (S3)</t>
  </si>
  <si>
    <t>Ver contratos activos</t>
  </si>
  <si>
    <t>Total — Notificaciones de pago y contratos</t>
  </si>
  <si>
    <t>Gestión de bodegas</t>
  </si>
  <si>
    <t>HUG-04 (S1)</t>
  </si>
  <si>
    <t>Registrar bodega con permiso</t>
  </si>
  <si>
    <t>HUG-04 (S2)</t>
  </si>
  <si>
    <t>Registro sin permiso</t>
  </si>
  <si>
    <t>HUG-04 (S3)</t>
  </si>
  <si>
    <t>Registro con campos faltantes</t>
  </si>
  <si>
    <t>HUG-07 (S1)</t>
  </si>
  <si>
    <t>Eliminar bodega sin reservas</t>
  </si>
  <si>
    <t>HUG-07 (S2)</t>
  </si>
  <si>
    <t>Intento de eliminar con reservas activas</t>
  </si>
  <si>
    <t>HUG-07 (S3)</t>
  </si>
  <si>
    <t>Eliminar bodega con historial</t>
  </si>
  <si>
    <t>HUG-08 (S1)</t>
  </si>
  <si>
    <t>Editar bodega</t>
  </si>
  <si>
    <t>HUG-08 (S2)</t>
  </si>
  <si>
    <t>Edición con datos inválidos</t>
  </si>
  <si>
    <t>HUG-08 (S3)</t>
  </si>
  <si>
    <t>Edición con reservas activas</t>
  </si>
  <si>
    <t>Total — Gestión de bodegas</t>
  </si>
  <si>
    <t>Gestión de reservas</t>
  </si>
  <si>
    <t>HUG-05 (S1)</t>
  </si>
  <si>
    <t>Ver lista de reservas</t>
  </si>
  <si>
    <t>HUG-05 (S2)</t>
  </si>
  <si>
    <t>Filtrar reservas</t>
  </si>
  <si>
    <t>HUG-05 (S3)</t>
  </si>
  <si>
    <t>Ver detalle de reserva</t>
  </si>
  <si>
    <t>HUG-06 (S1)</t>
  </si>
  <si>
    <t>Cancelar reserva futura pagada</t>
  </si>
  <si>
    <t>HUG-06 (S2)</t>
  </si>
  <si>
    <t>Cancelar reserva iniciada</t>
  </si>
  <si>
    <t>HUG-06 (S3)</t>
  </si>
  <si>
    <t>Cancelar sin razón</t>
  </si>
  <si>
    <t>Total — Gestión de reservas</t>
  </si>
  <si>
    <t>LEYENDA — Grupos de datos</t>
  </si>
  <si>
    <t>G1 — Bodega</t>
  </si>
  <si>
    <t>Datos del espacio: dimensiones, ubicación, fotos, tarifa mensual, estado (disponible/ocupada/inactiva).</t>
  </si>
  <si>
    <t>G2 — Reserva</t>
  </si>
  <si>
    <t>Reservas hechas sobre las bodegas del manager: fechas, cliente, estado de pago, importe, motivo de cancelación.</t>
  </si>
  <si>
    <t>G3 — Consulta / mensaje</t>
  </si>
  <si>
    <t>Consultas previas a la reserva: contenido del mensaje, cliente, estado (respondida/pendiente).</t>
  </si>
  <si>
    <t>G4 — Contrato</t>
  </si>
  <si>
    <t>Contrato activo entre manager y cliente: cliente, espacio, fechas, importe, estado.</t>
  </si>
  <si>
    <t>G5 — Notificación</t>
  </si>
  <si>
    <t>Alertas enviadas al manager: pago confirmado, nuevo mensaje, liberación de espacio.</t>
  </si>
  <si>
    <t>G6 — Chat</t>
  </si>
  <si>
    <t>Hilo de conversación durante un contrato activo: mensajes, timestamps, emisor.</t>
  </si>
  <si>
    <t>G7 — Permiso de bomberos</t>
  </si>
  <si>
    <t>Documento del permiso vigente de bomberos adjunto a la bodega.</t>
  </si>
  <si>
    <t>Notación COSMIC:  E = Entrada (el sistema recibe datos)  ·  X = Salida (el sistema envía datos)  ·  R = Lectura (el sistema lee datos almacenados)  ·  W = Escritura (el sistema almacena/modifica datos)  ·  1 movimiento de datos = 1 CFP</t>
  </si>
  <si>
    <t>G1
Bodega / espacio</t>
  </si>
  <si>
    <t>G2
Reserva / disponibilidad</t>
  </si>
  <si>
    <t>G3
Pago / comprobante</t>
  </si>
  <si>
    <t>G4
Mensaje / hilo</t>
  </si>
  <si>
    <t>G5
Reporte</t>
  </si>
  <si>
    <t>G6
Reseña / calificación</t>
  </si>
  <si>
    <t>G7
Inventario</t>
  </si>
  <si>
    <t>G8
Invitación / membresía</t>
  </si>
  <si>
    <t>Búsqueda y exploración de bodegas</t>
  </si>
  <si>
    <t>HUC-01 (S1)</t>
  </si>
  <si>
    <t>Buscar bodegas con filtros</t>
  </si>
  <si>
    <t>HUC-01 (S2)</t>
  </si>
  <si>
    <t>Búsqueda sin resultados</t>
  </si>
  <si>
    <t>HUC-01 (S3)</t>
  </si>
  <si>
    <t>Vista de mapa</t>
  </si>
  <si>
    <t>HUC-02 (S1)</t>
  </si>
  <si>
    <t>Ver detalle de bodega</t>
  </si>
  <si>
    <t>HUC-02 (S2)</t>
  </si>
  <si>
    <t>Bodega no disponible</t>
  </si>
  <si>
    <t>HUC-02 (S3)</t>
  </si>
  <si>
    <t>Bodega inexistente</t>
  </si>
  <si>
    <t>Total — Búsqueda y exploración de bodegas</t>
  </si>
  <si>
    <t>Reserva y pago</t>
  </si>
  <si>
    <t>HUC-03 (S1)</t>
  </si>
  <si>
    <t>Crear reserva</t>
  </si>
  <si>
    <t>HUC-03 (S2)</t>
  </si>
  <si>
    <t>Reserva con conflictos de fechas</t>
  </si>
  <si>
    <t>HUC-03 (S3)</t>
  </si>
  <si>
    <t>Reserva sin sesión</t>
  </si>
  <si>
    <t>HUC-05 (S1)</t>
  </si>
  <si>
    <t>Pago simulado</t>
  </si>
  <si>
    <t>HUC-05 (S2)</t>
  </si>
  <si>
    <t>Pago después de deadline</t>
  </si>
  <si>
    <t>HUC-05 (S3)</t>
  </si>
  <si>
    <t>Ver recibo de pago</t>
  </si>
  <si>
    <t>Total — Reserva y pago</t>
  </si>
  <si>
    <t>Comunicación con el manager</t>
  </si>
  <si>
    <t>HUC-04 (S1)</t>
  </si>
  <si>
    <t>Enviar consulta previa</t>
  </si>
  <si>
    <t>HUC-04 (S2)</t>
  </si>
  <si>
    <t>Recibir respuesta del manager</t>
  </si>
  <si>
    <t>HUC-04 (S3)</t>
  </si>
  <si>
    <t>Consulta sin sesión</t>
  </si>
  <si>
    <t>HUC-06 (S1)</t>
  </si>
  <si>
    <t>Enviar mensaje en chat activo</t>
  </si>
  <si>
    <t>HUC-06 (S2)</t>
  </si>
  <si>
    <t>Chat en reserva no activa</t>
  </si>
  <si>
    <t>HUC-06 (S3)</t>
  </si>
  <si>
    <t>Recibir mensaje del manager</t>
  </si>
  <si>
    <t>Total — Comunicación con el manager</t>
  </si>
  <si>
    <t>Gestión de reservas e historial</t>
  </si>
  <si>
    <t>HUC-07 (S1)</t>
  </si>
  <si>
    <t>Ver historial de reservas</t>
  </si>
  <si>
    <t>HUC-07 (S2)</t>
  </si>
  <si>
    <t>Cancelar reserva activa</t>
  </si>
  <si>
    <t>HUC-07 (S3)</t>
  </si>
  <si>
    <t>Total — Gestión de reservas e historial</t>
  </si>
  <si>
    <t>Reportes y reseñas</t>
  </si>
  <si>
    <t>HUC-08 (S1)</t>
  </si>
  <si>
    <t>Crear reporte</t>
  </si>
  <si>
    <t>HUC-08 (S2)</t>
  </si>
  <si>
    <t>Seguimiento de reporte</t>
  </si>
  <si>
    <t>HUC-08 (S3)</t>
  </si>
  <si>
    <t>Reporte sin descripción</t>
  </si>
  <si>
    <t>HUC-09 (S1)</t>
  </si>
  <si>
    <t>Enviar reseña</t>
  </si>
  <si>
    <t>HUC-09 (S2)</t>
  </si>
  <si>
    <t>Reseña en reserva sin finalizar</t>
  </si>
  <si>
    <t>HUC-09 (S3)</t>
  </si>
  <si>
    <t>Segunda reseña</t>
  </si>
  <si>
    <t>Total — Reportes y reseñas</t>
  </si>
  <si>
    <t>Integración de inventario</t>
  </si>
  <si>
    <t>HUC-10 (S1)</t>
  </si>
  <si>
    <t>Registrar endpoint externo</t>
  </si>
  <si>
    <t>HUC-10 (S2)</t>
  </si>
  <si>
    <t>Endpoint inválido</t>
  </si>
  <si>
    <t>HUC-10 (S3)</t>
  </si>
  <si>
    <t>Actualizar conexión</t>
  </si>
  <si>
    <t>HUC-11 (S1)</t>
  </si>
  <si>
    <t>Configurar mapeo inicial</t>
  </si>
  <si>
    <t>HUC-11 (S2)</t>
  </si>
  <si>
    <t>Guardar mapeo</t>
  </si>
  <si>
    <t>HUC-11 (S3)</t>
  </si>
  <si>
    <t>Modificar mapeo</t>
  </si>
  <si>
    <t>HUC-12 (S1)</t>
  </si>
  <si>
    <t>Ver inventario sincronizado</t>
  </si>
  <si>
    <t>HUC-12 (S2)</t>
  </si>
  <si>
    <t>Inventario — endpoint caído</t>
  </si>
  <si>
    <t>HUC-12 (S3)</t>
  </si>
  <si>
    <t>Inventario sin conexión</t>
  </si>
  <si>
    <t>HUC-13 (S1)</t>
  </si>
  <si>
    <t>Importar Excel</t>
  </si>
  <si>
    <t>HUC-13 (S2)</t>
  </si>
  <si>
    <t>Excel con errores</t>
  </si>
  <si>
    <t>HUC-13 (S3)</t>
  </si>
  <si>
    <t>Descargar plantilla</t>
  </si>
  <si>
    <t>Total — Integración de inventario</t>
  </si>
  <si>
    <t>Membresía de organización</t>
  </si>
  <si>
    <t>HUC-14 (S1)</t>
  </si>
  <si>
    <t>Aceptar invitación</t>
  </si>
  <si>
    <t>HUC-14 (S2)</t>
  </si>
  <si>
    <t>Rechazar invitación</t>
  </si>
  <si>
    <t>HUC-14 (S3)</t>
  </si>
  <si>
    <t>Invitación expirada</t>
  </si>
  <si>
    <t>Total — Membresía de organización</t>
  </si>
  <si>
    <t>G1 — Bodega / espacio</t>
  </si>
  <si>
    <t>Datos del warehouse visible en el catálogo: nombre, ubicación, dimensiones, precio, fotos, manager, estado.</t>
  </si>
  <si>
    <t>G2 — Reserva / disponibilidad</t>
  </si>
  <si>
    <t>Reservas del cliente: fechas, estado (pendiente/activa/finalizada/cancelada), conflictos de calendario, disponibilidad.</t>
  </si>
  <si>
    <t>G3 — Pago / comprobante</t>
  </si>
  <si>
    <t>Pago simulado: importe, confirmación, recibo con número de reserva, fecha y estado.</t>
  </si>
  <si>
    <t>G4 — Mensaje / hilo</t>
  </si>
  <si>
    <t>Mensajes entre cliente y manager: consultas previas y chat de reserva activa, timestamps.</t>
  </si>
  <si>
    <t>G5 — Reporte</t>
  </si>
  <si>
    <t>Reporte de incidente: tipo, descripción, número de caso, estado (pendiente/en revisión/resuelto).</t>
  </si>
  <si>
    <t>G6 — Reseña / calificación</t>
  </si>
  <si>
    <t>Reseña pública: puntaje (1-5), comentario, manager y bodega asociados, visibilidad pública.</t>
  </si>
  <si>
    <t>G7 — Inventario</t>
  </si>
  <si>
    <t>Integración de inventario externo: endpoint URL, credencial, mapeo de campos, productos consultados, archivo Excel.</t>
  </si>
  <si>
    <t>G8 — Invitación / membresía</t>
  </si>
  <si>
    <t>Invitación de organización: estado (pendiente/aceptada/rechazada/expirada), organización emisora.</t>
  </si>
  <si>
    <t>G1
Bodega / permiso</t>
  </si>
  <si>
    <t>G2
Métricas / dashboard</t>
  </si>
  <si>
    <t>G3
Usuario / cuenta</t>
  </si>
  <si>
    <t>G4
Reporte</t>
  </si>
  <si>
    <t>Moderación de bodegas</t>
  </si>
  <si>
    <t>HUA-01 (S1)</t>
  </si>
  <si>
    <t>Aprobar bodega con permiso válido</t>
  </si>
  <si>
    <t>HUA-01 (S2)</t>
  </si>
  <si>
    <t>Rechazar por permiso inválido</t>
  </si>
  <si>
    <t>HUA-01 (S3)</t>
  </si>
  <si>
    <t>Envío sin documento</t>
  </si>
  <si>
    <t>Total — Moderación de bodegas</t>
  </si>
  <si>
    <t>Monitoreo de plataforma</t>
  </si>
  <si>
    <t>HUA-02 (S1)</t>
  </si>
  <si>
    <t>Cargar dashboard</t>
  </si>
  <si>
    <t>HUA-02 (S2)</t>
  </si>
  <si>
    <t>Filtrar por período</t>
  </si>
  <si>
    <t>HUA-02 (S3)</t>
  </si>
  <si>
    <t>Indicador de reportes no resueltos</t>
  </si>
  <si>
    <t>Total — Monitoreo de plataforma</t>
  </si>
  <si>
    <t>Gestión de usuarios</t>
  </si>
  <si>
    <t>HUA-03 (S1)</t>
  </si>
  <si>
    <t>Bloquear cuenta</t>
  </si>
  <si>
    <t>HUA-03 (S2)</t>
  </si>
  <si>
    <t>Login de usuario bloqueado</t>
  </si>
  <si>
    <t>HUA-03 (S3)</t>
  </si>
  <si>
    <t>Reactivar cuenta</t>
  </si>
  <si>
    <t>Total — Gestión de usuarios</t>
  </si>
  <si>
    <t>Gestión de reportes</t>
  </si>
  <si>
    <t>HUA-04 (S1)</t>
  </si>
  <si>
    <t>Revisar reporte pendiente</t>
  </si>
  <si>
    <t>HUA-04 (S2)</t>
  </si>
  <si>
    <t>Responder y resolver reporte</t>
  </si>
  <si>
    <t>HUA-04 (S3)</t>
  </si>
  <si>
    <t>Resolver sin respuesta</t>
  </si>
  <si>
    <t>Total — Gestión de reportes</t>
  </si>
  <si>
    <t>G1 — Bodega / permiso</t>
  </si>
  <si>
    <t>Bodega en revisión: datos del warehouse y documento de permiso de bomberos adjunto, estado de publicación.</t>
  </si>
  <si>
    <t>G2 — Métricas / dashboard</t>
  </si>
  <si>
    <t>Indicadores globales de la plataforma: bodegas por estado, usuarios por rol, monto transaccionado, reservas en curso, reportes pendientes, filtros de período.</t>
  </si>
  <si>
    <t>G3 — Usuario / cuenta</t>
  </si>
  <si>
    <t>Cuenta de usuario: perfil, rol, estado (activo/bloqueado), tokens de acceso, log de auditoría, motivo de bloqueo/reactivación.</t>
  </si>
  <si>
    <t>G4 — Reporte</t>
  </si>
  <si>
    <t>Reporte de incidente recibido: tipo, descripción, bodega y reserva vinculadas, estado, respuesta del administrador.</t>
  </si>
  <si>
    <t>G1
Organización</t>
  </si>
  <si>
    <t>G2
Miembro / invitación</t>
  </si>
  <si>
    <t>G3
Contexto operativo</t>
  </si>
  <si>
    <t>G4
Reserva empresarial</t>
  </si>
  <si>
    <t>Creación y administración de organización</t>
  </si>
  <si>
    <t>HUE-04 (S1)</t>
  </si>
  <si>
    <t>Crear organización</t>
  </si>
  <si>
    <t>HUE-04 (S2)</t>
  </si>
  <si>
    <t>RUC duplicado</t>
  </si>
  <si>
    <t>HUE-04 (S3)</t>
  </si>
  <si>
    <t>Crear con campos faltantes</t>
  </si>
  <si>
    <t>HUE-03 (S1)</t>
  </si>
  <si>
    <t>Cargar panel admin empresarial</t>
  </si>
  <si>
    <t>HUE-03 (S2)</t>
  </si>
  <si>
    <t>Remover miembro</t>
  </si>
  <si>
    <t>HUE-03 (S3)</t>
  </si>
  <si>
    <t>Ver historial de acciones</t>
  </si>
  <si>
    <t>Total — Creación y administración de organización</t>
  </si>
  <si>
    <t>Gestión de miembros</t>
  </si>
  <si>
    <t>HUE-01 (S1)</t>
  </si>
  <si>
    <t>Enviar invitación</t>
  </si>
  <si>
    <t>HUE-01 (S2)</t>
  </si>
  <si>
    <t>Invitar a manager</t>
  </si>
  <si>
    <t>HUE-01 (S3)</t>
  </si>
  <si>
    <t>Invitar miembro existente</t>
  </si>
  <si>
    <t>Total — Gestión de miembros</t>
  </si>
  <si>
    <t>Contexto operativo</t>
  </si>
  <si>
    <t>HUE-02 (S1)</t>
  </si>
  <si>
    <t>Cambiar a contexto organización</t>
  </si>
  <si>
    <t>HUE-02 (S2)</t>
  </si>
  <si>
    <t>Cambiar a contexto personal</t>
  </si>
  <si>
    <t>HUE-02 (S3)</t>
  </si>
  <si>
    <t>Login con una organización</t>
  </si>
  <si>
    <t>Total — Contexto operativo</t>
  </si>
  <si>
    <t>Reservas empresariales</t>
  </si>
  <si>
    <t>HUE-05 (S1)</t>
  </si>
  <si>
    <t>Crear reserva empresarial</t>
  </si>
  <si>
    <t>HUE-05 (S2)</t>
  </si>
  <si>
    <t>Vista compartida de reserva</t>
  </si>
  <si>
    <t>HUE-05 (S3)</t>
  </si>
  <si>
    <t>Reserva en contexto personal</t>
  </si>
  <si>
    <t>HUE-06 (S1)</t>
  </si>
  <si>
    <t>Miembro sin botón de eliminar</t>
  </si>
  <si>
    <t>HUE-06 (S2)</t>
  </si>
  <si>
    <t>Admin elimina reserva</t>
  </si>
  <si>
    <t>HUE-06 (S3)</t>
  </si>
  <si>
    <t>Miembro intenta eliminar por URL</t>
  </si>
  <si>
    <t>Total — Reservas empresariales</t>
  </si>
  <si>
    <t>G1 — Organización</t>
  </si>
  <si>
    <t>Datos de la empresa: razón comercial, RUC, email, panel administrativo, historial de acciones, estado de activación.</t>
  </si>
  <si>
    <t>G2 — Miembro / invitación</t>
  </si>
  <si>
    <t>Miembros de la organización e invitaciones: cliente invitado, email, rol, estado (pendiente/aceptado/rechazado), eliminación de miembro.</t>
  </si>
  <si>
    <t>G3 — Contexto operativo</t>
  </si>
  <si>
    <t>Contexto personal vs. organizacional: selector, indicador visual, empresa activa, recarga del panel según contexto.</t>
  </si>
  <si>
    <t>G4 — Reserva empresarial</t>
  </si>
  <si>
    <t>Reserva vinculada a la organización (no al cliente individual): fechas, bodega, miembro que la creó, control de eliminación, permisos.</t>
  </si>
  <si>
    <t>G1
Usuario / autenticación</t>
  </si>
  <si>
    <t>G2
Empresa / contexto</t>
  </si>
  <si>
    <t>G3
Bodega (publicación)</t>
  </si>
  <si>
    <t>G4
Bodega (exploración)</t>
  </si>
  <si>
    <t>Autenticación</t>
  </si>
  <si>
    <t>HUL-01 (S1)</t>
  </si>
  <si>
    <t>Login exitoso</t>
  </si>
  <si>
    <t>HUL-01 (S2)</t>
  </si>
  <si>
    <t>Credenciales incorrectas</t>
  </si>
  <si>
    <t>HUL-01 (S3)</t>
  </si>
  <si>
    <t>Campos vacíos</t>
  </si>
  <si>
    <t>Total — Autenticación</t>
  </si>
  <si>
    <t>Selección de empresa</t>
  </si>
  <si>
    <t>HUL-02 (S1)</t>
  </si>
  <si>
    <t>Cliente con múltiples empresas</t>
  </si>
  <si>
    <t>HUL-02 (S2)</t>
  </si>
  <si>
    <t>Cliente con una empresa</t>
  </si>
  <si>
    <t>HUL-02 (S3)</t>
  </si>
  <si>
    <t>Cliente sin empresas</t>
  </si>
  <si>
    <t>Total — Selección de empresa</t>
  </si>
  <si>
    <t>Publicación de bodegas móvil</t>
  </si>
  <si>
    <t>HUL-03 (S1)</t>
  </si>
  <si>
    <t>Publicar bodega móvil</t>
  </si>
  <si>
    <t>HUL-03 (S2)</t>
  </si>
  <si>
    <t>Publicar con campos incompletos</t>
  </si>
  <si>
    <t>HUL-03 (S3)</t>
  </si>
  <si>
    <t>Nombre duplicado</t>
  </si>
  <si>
    <t>HUL-04 (S1)</t>
  </si>
  <si>
    <t>Ver bodegas publicadas</t>
  </si>
  <si>
    <t>HUL-04 (S2)</t>
  </si>
  <si>
    <t>Sin bodegas publicadas</t>
  </si>
  <si>
    <t>HUL-04 (S3)</t>
  </si>
  <si>
    <t>Filtrar bodegas</t>
  </si>
  <si>
    <t>Total — Publicación de bodegas móvil</t>
  </si>
  <si>
    <t>Exploración de espacios móvil</t>
  </si>
  <si>
    <t>HUL-05 (S1)</t>
  </si>
  <si>
    <t>Ver espacios disponibles</t>
  </si>
  <si>
    <t>HUL-05 (S2)</t>
  </si>
  <si>
    <t>Sin espacios disponibles</t>
  </si>
  <si>
    <t>HUL-05 (S3)</t>
  </si>
  <si>
    <t>Filtrar espacios</t>
  </si>
  <si>
    <t>HUL-06 (S1)</t>
  </si>
  <si>
    <t>Ver detalle de bodega móvil</t>
  </si>
  <si>
    <t>HUL-06 (S2)</t>
  </si>
  <si>
    <t>Detalle con información parcial</t>
  </si>
  <si>
    <t>HUL-06 (S3)</t>
  </si>
  <si>
    <t>Bodega ya no disponible</t>
  </si>
  <si>
    <t>Total — Exploración de espacios móvil</t>
  </si>
  <si>
    <t>G1 — Usuario / autenticación</t>
  </si>
  <si>
    <t>Credenciales Leodega: email, contraseña, cuenta de usuario, rol, redirección tras login.</t>
  </si>
  <si>
    <t>G2 — Empresa / contexto</t>
  </si>
  <si>
    <t>Selección de empresa en la app móvil: empresas asociadas al cliente, empresa activa, selector, vista filtrada.</t>
  </si>
  <si>
    <t>G3 — Bodega (publicación)</t>
  </si>
  <si>
    <t>Registro y listado de bodegas desde móvil: datos del formulario, estado (pendiente/aprobada), nombre duplicado, filtros.</t>
  </si>
  <si>
    <t>G4 — Bodega (exploración)</t>
  </si>
  <si>
    <t>Exploración de espacios disponibles: lista unificada, filtros, detalle de bodega, capacidad, ubicación, manager responsable.</t>
  </si>
  <si>
    <t>Estimación Funcional Cosmic — Leodega / Leodeguita</t>
  </si>
  <si>
    <t>Total Sistema</t>
  </si>
  <si>
    <t>Notación:</t>
  </si>
  <si>
    <t>Leyenda — Grupos de datos</t>
  </si>
  <si>
    <t>Gestor De Bodega (Storage Manager — HUG)</t>
  </si>
  <si>
    <t>Total Gestor De Bodega</t>
  </si>
  <si>
    <t>Total Cliente</t>
  </si>
  <si>
    <t>Cliente (Client — HUC)</t>
  </si>
  <si>
    <t>Administrador (Administrator — HUA)</t>
  </si>
  <si>
    <t>Total Administrador</t>
  </si>
  <si>
    <t>Organización / Compañía (Organisation — HUE)</t>
  </si>
  <si>
    <t>Total Organización / Compañía</t>
  </si>
  <si>
    <t>Leodeguita — Mobile (HUL)</t>
  </si>
  <si>
    <t>Total Leodeguita —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</si>
</sst>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>
    <font>
      <sz val="11"/>
      <color theme="1"/>
      <name val="Calibri"/>
    </font>
    <font>
      <sz val="11"/>
      <color indexed="64"/>
      <name val="Calibri"/>
    </font>
    <font>
      <sz val="11"/>
      <color theme="1"/>
      <name val="Times New Roman"/>
    </font>
    <font>
      <sz val="11"/>
      <name val="Calibri"/>
    </font>
    <font>
      <sz val="11"/>
      <color indexed="64"/>
      <name val="Times New Roman"/>
    </font>
    <font>
      <b/>
      <sz val="14"/>
      <name val="Times New Roman"/>
    </font>
    <font>
      <i/>
      <sz val="10"/>
      <color indexed="64"/>
      <name val="Times New Roman"/>
    </font>
    <font>
      <b/>
      <sz val="11"/>
      <name val="Times New Roman"/>
    </font>
    <font>
      <b/>
      <sz val="11"/>
      <color indexed="64"/>
      <name val="Times New Roman"/>
    </font>
    <font>
      <sz val="11"/>
      <name val="Times New Roman"/>
    </font>
    <font>
      <b/>
      <sz val="14"/>
      <color indexed="64"/>
      <name val="Times New Roman"/>
    </font>
    <font>
      <b/>
      <sz val="9"/>
      <name val="Times New Roman"/>
    </font>
    <font>
      <i/>
      <sz val="9"/>
      <color indexed="64"/>
      <name val="Times New Roman"/>
    </font>
    <font>
      <sz val="11"/>
      <name val="time"/>
    </font>
    <font>
      <sz val="11"/>
      <color indexed="64"/>
      <name val="time"/>
    </font>
    <font>
      <sz val="11"/>
      <color theme="1"/>
      <name val="time"/>
    </font>
    <font>
      <sz val="11"/>
      <color indexed="64"/>
      <name val="Times New Roman"/>
      <family val="1"/>
    </font>
    <font>
      <b/>
      <sz val="11"/>
      <name val="Times New Roman"/>
      <family val="1"/>
    </font>
    <font>
      <b/>
      <sz val="11"/>
      <color indexed="64"/>
      <name val="Times New Roman"/>
      <family val="1"/>
    </font>
    <font>
      <b/>
      <sz val="14"/>
      <color indexed="6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9"/>
      <name val="Times New Roman"/>
      <family val="1"/>
    </font>
    <font>
      <i/>
      <sz val="9"/>
      <color indexed="64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17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/>
    <xf numFmtId="0" fontId="18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6" zoomScaleNormal="106" workbookViewId="0">
      <selection activeCell="L13" sqref="L13"/>
    </sheetView>
  </sheetViews>
  <sheetFormatPr baseColWidth="10" defaultColWidth="8.7109375" defaultRowHeight="15"/>
  <cols>
    <col min="1" max="1" width="3" customWidth="1"/>
    <col min="2" max="2" width="34" customWidth="1"/>
    <col min="3" max="6" width="9" customWidth="1"/>
    <col min="7" max="7" width="11" customWidth="1"/>
    <col min="8" max="8" width="13" customWidth="1"/>
  </cols>
  <sheetData>
    <row r="1" spans="1:10">
      <c r="A1" s="4"/>
      <c r="B1" s="4"/>
      <c r="C1" s="4"/>
      <c r="D1" s="4"/>
      <c r="E1" s="4"/>
      <c r="F1" s="4"/>
      <c r="G1" s="4"/>
      <c r="H1" s="4"/>
      <c r="I1" s="2"/>
      <c r="J1" s="2"/>
    </row>
    <row r="2" spans="1:10" ht="17.25" customHeight="1">
      <c r="A2" s="4"/>
      <c r="B2" s="28" t="s">
        <v>378</v>
      </c>
      <c r="C2" s="28"/>
      <c r="D2" s="28"/>
      <c r="E2" s="28"/>
      <c r="F2" s="28"/>
      <c r="G2" s="28"/>
      <c r="H2" s="28"/>
      <c r="I2" s="2"/>
      <c r="J2" s="2"/>
    </row>
    <row r="3" spans="1:10" ht="15" customHeight="1">
      <c r="A3" s="4"/>
      <c r="B3" s="29"/>
      <c r="C3" s="29"/>
      <c r="D3" s="29"/>
      <c r="E3" s="29"/>
      <c r="F3" s="29"/>
      <c r="G3" s="29"/>
      <c r="H3" s="29"/>
      <c r="I3" s="2"/>
      <c r="J3" s="2"/>
    </row>
    <row r="4" spans="1:10">
      <c r="A4" s="4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2"/>
      <c r="J4" s="2"/>
    </row>
    <row r="5" spans="1:10" ht="15" customHeight="1">
      <c r="A5" s="4"/>
      <c r="B5" s="6" t="s">
        <v>7</v>
      </c>
      <c r="C5" s="6">
        <f>Gestor!M36</f>
        <v>12</v>
      </c>
      <c r="D5" s="6">
        <f>Gestor!N36</f>
        <v>24</v>
      </c>
      <c r="E5" s="6">
        <f>Gestor!O36</f>
        <v>17</v>
      </c>
      <c r="F5" s="6">
        <f>Gestor!P36</f>
        <v>10</v>
      </c>
      <c r="G5" s="5">
        <f>Gestor!Q36</f>
        <v>63</v>
      </c>
      <c r="H5" s="7">
        <f>G5/$G$10</f>
        <v>0.19444444444444445</v>
      </c>
      <c r="I5" s="2"/>
      <c r="J5" s="2"/>
    </row>
    <row r="6" spans="1:10" ht="15" customHeight="1">
      <c r="A6" s="4"/>
      <c r="B6" s="6" t="s">
        <v>8</v>
      </c>
      <c r="C6" s="6">
        <f>Cliente!N57</f>
        <v>34</v>
      </c>
      <c r="D6" s="6">
        <f>Cliente!O57</f>
        <v>42</v>
      </c>
      <c r="E6" s="6">
        <f>Cliente!P57</f>
        <v>28</v>
      </c>
      <c r="F6" s="6">
        <f>Cliente!Q57</f>
        <v>16</v>
      </c>
      <c r="G6" s="5">
        <f>Cliente!R57</f>
        <v>120</v>
      </c>
      <c r="H6" s="7">
        <f>G6/$G$10</f>
        <v>0.37037037037037035</v>
      </c>
      <c r="I6" s="2"/>
      <c r="J6" s="2"/>
    </row>
    <row r="7" spans="1:10" ht="15" customHeight="1">
      <c r="A7" s="4"/>
      <c r="B7" s="6" t="s">
        <v>9</v>
      </c>
      <c r="C7" s="6">
        <f>Administrador!J24</f>
        <v>10</v>
      </c>
      <c r="D7" s="6">
        <f>Administrador!K24</f>
        <v>12</v>
      </c>
      <c r="E7" s="6">
        <f>Administrador!L24</f>
        <v>9</v>
      </c>
      <c r="F7" s="6">
        <f>Administrador!M24</f>
        <v>6</v>
      </c>
      <c r="G7" s="5">
        <f>Administrador!N24</f>
        <v>37</v>
      </c>
      <c r="H7" s="7">
        <f>G7/$G$10</f>
        <v>0.11419753086419752</v>
      </c>
      <c r="I7" s="2"/>
      <c r="J7" s="2"/>
    </row>
    <row r="8" spans="1:10" ht="15" customHeight="1">
      <c r="A8" s="4"/>
      <c r="B8" s="6" t="s">
        <v>10</v>
      </c>
      <c r="C8" s="6">
        <f>Organización!J30</f>
        <v>16</v>
      </c>
      <c r="D8" s="6">
        <f>Organización!K30</f>
        <v>18</v>
      </c>
      <c r="E8" s="6">
        <f>Organización!L30</f>
        <v>15</v>
      </c>
      <c r="F8" s="6">
        <f>Organización!M30</f>
        <v>7</v>
      </c>
      <c r="G8" s="5">
        <f>Organización!N30</f>
        <v>56</v>
      </c>
      <c r="H8" s="7">
        <f>G8/$G$10</f>
        <v>0.1728395061728395</v>
      </c>
      <c r="I8" s="2"/>
      <c r="J8" s="2"/>
    </row>
    <row r="9" spans="1:10" ht="15" customHeight="1">
      <c r="A9" s="4"/>
      <c r="B9" s="6" t="s">
        <v>11</v>
      </c>
      <c r="C9" s="6">
        <f>Leodeguita!J30</f>
        <v>14</v>
      </c>
      <c r="D9" s="6">
        <f>Leodeguita!K30</f>
        <v>18</v>
      </c>
      <c r="E9" s="6">
        <f>Leodeguita!L30</f>
        <v>15</v>
      </c>
      <c r="F9" s="6">
        <f>Leodeguita!M30</f>
        <v>1</v>
      </c>
      <c r="G9" s="5">
        <f>Leodeguita!N30</f>
        <v>48</v>
      </c>
      <c r="H9" s="7">
        <f>G9/$G$10</f>
        <v>0.14814814814814814</v>
      </c>
      <c r="I9" s="2"/>
      <c r="J9" s="2"/>
    </row>
    <row r="10" spans="1:10" ht="15" customHeight="1">
      <c r="A10" s="4"/>
      <c r="B10" s="31" t="s">
        <v>379</v>
      </c>
      <c r="C10" s="8">
        <f>SUM(C5:C9)</f>
        <v>86</v>
      </c>
      <c r="D10" s="8">
        <f>SUM(D5:D9)</f>
        <v>114</v>
      </c>
      <c r="E10" s="8">
        <f>SUM(E5:E9)</f>
        <v>84</v>
      </c>
      <c r="F10" s="8">
        <f>SUM(F5:F9)</f>
        <v>40</v>
      </c>
      <c r="G10" s="8">
        <f>SUM(G5:G9)</f>
        <v>324</v>
      </c>
      <c r="H10" s="8" t="s">
        <v>12</v>
      </c>
      <c r="I10" s="2"/>
      <c r="J10" s="2"/>
    </row>
    <row r="11" spans="1:10" ht="15" customHeight="1">
      <c r="A11" s="4"/>
      <c r="I11" s="2"/>
      <c r="J11" s="2"/>
    </row>
    <row r="12" spans="1:10">
      <c r="A12" s="4"/>
      <c r="B12" s="33" t="s">
        <v>380</v>
      </c>
      <c r="C12" s="30"/>
      <c r="D12" s="30"/>
      <c r="E12" s="30"/>
      <c r="F12" s="30"/>
      <c r="G12" s="30"/>
      <c r="H12" s="30"/>
      <c r="I12" s="2"/>
      <c r="J12" s="2"/>
    </row>
    <row r="13" spans="1:10" ht="15" customHeight="1">
      <c r="A13" s="4"/>
      <c r="I13" s="2"/>
      <c r="J13" s="2"/>
    </row>
    <row r="14" spans="1:10" ht="15" customHeight="1">
      <c r="A14" s="4"/>
      <c r="B14" s="32" t="s">
        <v>13</v>
      </c>
      <c r="C14" s="32"/>
      <c r="D14" s="32"/>
      <c r="E14" s="32"/>
      <c r="F14" s="32"/>
      <c r="G14" s="32"/>
      <c r="H14" s="32"/>
      <c r="I14" s="2"/>
      <c r="J14" s="2"/>
    </row>
    <row r="15" spans="1:10" ht="15" customHeight="1">
      <c r="A15" s="4"/>
      <c r="B15" s="32" t="s">
        <v>14</v>
      </c>
      <c r="C15" s="32"/>
      <c r="D15" s="32"/>
      <c r="E15" s="32"/>
      <c r="F15" s="32"/>
      <c r="G15" s="32"/>
      <c r="H15" s="32"/>
      <c r="I15" s="2"/>
      <c r="J15" s="2"/>
    </row>
    <row r="16" spans="1:10" ht="15" customHeight="1">
      <c r="A16" s="4"/>
      <c r="B16" s="32" t="s">
        <v>15</v>
      </c>
      <c r="C16" s="32"/>
      <c r="D16" s="32"/>
      <c r="E16" s="32"/>
      <c r="F16" s="32"/>
      <c r="G16" s="32"/>
      <c r="H16" s="32"/>
      <c r="I16" s="2"/>
      <c r="J16" s="2"/>
    </row>
    <row r="17" spans="1:10" ht="15" customHeight="1">
      <c r="A17" s="4"/>
      <c r="B17" s="32" t="s">
        <v>16</v>
      </c>
      <c r="C17" s="32"/>
      <c r="D17" s="32"/>
      <c r="E17" s="32"/>
      <c r="F17" s="32"/>
      <c r="G17" s="32"/>
      <c r="H17" s="32"/>
      <c r="I17" s="2"/>
      <c r="J17" s="2"/>
    </row>
    <row r="18" spans="1:10">
      <c r="A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mergeCells count="7">
    <mergeCell ref="B16:H16"/>
    <mergeCell ref="B17:H17"/>
    <mergeCell ref="B2:H2"/>
    <mergeCell ref="B3:H3"/>
    <mergeCell ref="B12:H12"/>
    <mergeCell ref="B14:H14"/>
    <mergeCell ref="B15:H15"/>
  </mergeCells>
  <pageMargins left="0.75" right="0.75" top="1" bottom="1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topLeftCell="A34" zoomScale="91" zoomScaleNormal="91" workbookViewId="0">
      <selection activeCell="B38" sqref="B38:Q38"/>
    </sheetView>
  </sheetViews>
  <sheetFormatPr baseColWidth="10" defaultColWidth="6" defaultRowHeight="15"/>
  <cols>
    <col min="1" max="1" width="3" style="2" customWidth="1"/>
    <col min="2" max="2" width="5" style="2" customWidth="1"/>
    <col min="3" max="3" width="18" customWidth="1"/>
    <col min="4" max="4" width="12" style="2" customWidth="1"/>
    <col min="5" max="5" width="34" style="2" customWidth="1"/>
    <col min="6" max="12" width="13.7109375" customWidth="1"/>
    <col min="16" max="16" width="6" style="2"/>
    <col min="18" max="16384" width="6" style="2"/>
  </cols>
  <sheetData>
    <row r="1" spans="1:19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1.75" customHeight="1">
      <c r="A2" s="3"/>
      <c r="B2" s="59" t="s">
        <v>382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  <c r="R2" s="9"/>
      <c r="S2" s="9"/>
    </row>
    <row r="3" spans="1:19" ht="15" customHeight="1">
      <c r="A3" s="3"/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9"/>
      <c r="S3" s="9"/>
    </row>
    <row r="4" spans="1:19" ht="15" customHeight="1">
      <c r="A4" s="3"/>
      <c r="B4" s="34" t="s">
        <v>17</v>
      </c>
      <c r="C4" s="36"/>
      <c r="D4" s="40" t="s">
        <v>18</v>
      </c>
      <c r="E4" s="40" t="s">
        <v>19</v>
      </c>
      <c r="F4" s="34" t="s">
        <v>20</v>
      </c>
      <c r="G4" s="35"/>
      <c r="H4" s="35"/>
      <c r="I4" s="35"/>
      <c r="J4" s="35"/>
      <c r="K4" s="35"/>
      <c r="L4" s="36"/>
      <c r="M4" s="34" t="s">
        <v>21</v>
      </c>
      <c r="N4" s="35"/>
      <c r="O4" s="35"/>
      <c r="P4" s="35"/>
      <c r="Q4" s="36"/>
      <c r="R4" s="9"/>
      <c r="S4" s="9"/>
    </row>
    <row r="5" spans="1:19" ht="15" customHeight="1">
      <c r="A5" s="3"/>
      <c r="B5" s="37"/>
      <c r="C5" s="39"/>
      <c r="D5" s="41"/>
      <c r="E5" s="41"/>
      <c r="F5" s="37"/>
      <c r="G5" s="38"/>
      <c r="H5" s="38"/>
      <c r="I5" s="38"/>
      <c r="J5" s="38"/>
      <c r="K5" s="38"/>
      <c r="L5" s="39"/>
      <c r="M5" s="37"/>
      <c r="N5" s="38"/>
      <c r="O5" s="38"/>
      <c r="P5" s="38"/>
      <c r="Q5" s="39"/>
      <c r="R5" s="9"/>
      <c r="S5" s="9"/>
    </row>
    <row r="6" spans="1:19" ht="30" customHeight="1">
      <c r="A6" s="3"/>
      <c r="B6" s="21"/>
      <c r="C6" s="22"/>
      <c r="D6" s="25"/>
      <c r="E6" s="25"/>
      <c r="F6" s="40" t="s">
        <v>22</v>
      </c>
      <c r="G6" s="40" t="s">
        <v>23</v>
      </c>
      <c r="H6" s="40" t="s">
        <v>24</v>
      </c>
      <c r="I6" s="40" t="s">
        <v>25</v>
      </c>
      <c r="J6" s="40" t="s">
        <v>26</v>
      </c>
      <c r="K6" s="40" t="s">
        <v>27</v>
      </c>
      <c r="L6" s="40" t="s">
        <v>28</v>
      </c>
      <c r="M6" s="40" t="s">
        <v>1</v>
      </c>
      <c r="N6" s="40" t="s">
        <v>2</v>
      </c>
      <c r="O6" s="40" t="s">
        <v>3</v>
      </c>
      <c r="P6" s="40" t="s">
        <v>4</v>
      </c>
      <c r="Q6" s="40" t="s">
        <v>5</v>
      </c>
      <c r="R6" s="9"/>
      <c r="S6" s="9"/>
    </row>
    <row r="7" spans="1:19" ht="15" customHeight="1">
      <c r="A7" s="3"/>
      <c r="B7" s="23"/>
      <c r="C7" s="24"/>
      <c r="D7" s="26"/>
      <c r="E7" s="26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9"/>
      <c r="S7" s="9"/>
    </row>
    <row r="8" spans="1:19" ht="35.1" customHeight="1">
      <c r="A8" s="3"/>
      <c r="B8" s="34" t="s">
        <v>29</v>
      </c>
      <c r="C8" s="36"/>
      <c r="D8" s="11" t="s">
        <v>30</v>
      </c>
      <c r="E8" s="12" t="s">
        <v>31</v>
      </c>
      <c r="F8" s="12"/>
      <c r="G8" s="12"/>
      <c r="H8" s="12" t="s">
        <v>2</v>
      </c>
      <c r="I8" s="12"/>
      <c r="J8" s="12" t="s">
        <v>2</v>
      </c>
      <c r="K8" s="12"/>
      <c r="L8" s="12"/>
      <c r="M8" s="12">
        <v>0</v>
      </c>
      <c r="N8" s="12">
        <v>1</v>
      </c>
      <c r="O8" s="12">
        <v>1</v>
      </c>
      <c r="P8" s="12">
        <v>0</v>
      </c>
      <c r="Q8" s="10">
        <f t="shared" ref="Q8:Q13" si="0">SUM(M8:P8)</f>
        <v>2</v>
      </c>
      <c r="R8" s="9"/>
      <c r="S8" s="9"/>
    </row>
    <row r="9" spans="1:19" ht="35.1" customHeight="1">
      <c r="A9" s="3"/>
      <c r="B9" s="50"/>
      <c r="C9" s="51"/>
      <c r="D9" s="11" t="s">
        <v>32</v>
      </c>
      <c r="E9" s="12" t="s">
        <v>33</v>
      </c>
      <c r="F9" s="12"/>
      <c r="G9" s="12"/>
      <c r="H9" s="12" t="s">
        <v>2</v>
      </c>
      <c r="I9" s="12"/>
      <c r="J9" s="12"/>
      <c r="K9" s="12"/>
      <c r="L9" s="12"/>
      <c r="M9" s="12">
        <v>1</v>
      </c>
      <c r="N9" s="12">
        <v>1</v>
      </c>
      <c r="O9" s="12">
        <v>0</v>
      </c>
      <c r="P9" s="12">
        <v>1</v>
      </c>
      <c r="Q9" s="10">
        <f t="shared" si="0"/>
        <v>3</v>
      </c>
      <c r="R9" s="9"/>
      <c r="S9" s="9"/>
    </row>
    <row r="10" spans="1:19" ht="35.1" customHeight="1">
      <c r="A10" s="3"/>
      <c r="B10" s="50"/>
      <c r="C10" s="51"/>
      <c r="D10" s="11" t="s">
        <v>34</v>
      </c>
      <c r="E10" s="12" t="s">
        <v>35</v>
      </c>
      <c r="F10" s="12"/>
      <c r="G10" s="12"/>
      <c r="H10" s="12" t="s">
        <v>2</v>
      </c>
      <c r="I10" s="12"/>
      <c r="J10" s="12"/>
      <c r="K10" s="12"/>
      <c r="L10" s="12"/>
      <c r="M10" s="12">
        <v>0</v>
      </c>
      <c r="N10" s="12">
        <v>1</v>
      </c>
      <c r="O10" s="12">
        <v>1</v>
      </c>
      <c r="P10" s="12">
        <v>0</v>
      </c>
      <c r="Q10" s="10">
        <f t="shared" si="0"/>
        <v>2</v>
      </c>
      <c r="R10" s="9"/>
      <c r="S10" s="9"/>
    </row>
    <row r="11" spans="1:19" ht="35.1" customHeight="1">
      <c r="A11" s="3"/>
      <c r="B11" s="50"/>
      <c r="C11" s="51"/>
      <c r="D11" s="11" t="s">
        <v>36</v>
      </c>
      <c r="E11" s="12" t="s">
        <v>37</v>
      </c>
      <c r="F11" s="12"/>
      <c r="G11" s="12"/>
      <c r="H11" s="12"/>
      <c r="I11" s="12"/>
      <c r="J11" s="12" t="s">
        <v>2</v>
      </c>
      <c r="K11" s="12" t="s">
        <v>2</v>
      </c>
      <c r="L11" s="12"/>
      <c r="M11" s="12">
        <v>1</v>
      </c>
      <c r="N11" s="12">
        <v>1</v>
      </c>
      <c r="O11" s="12">
        <v>0</v>
      </c>
      <c r="P11" s="12">
        <v>1</v>
      </c>
      <c r="Q11" s="10">
        <f t="shared" si="0"/>
        <v>3</v>
      </c>
      <c r="R11" s="9"/>
      <c r="S11" s="9"/>
    </row>
    <row r="12" spans="1:19" ht="35.1" customHeight="1">
      <c r="A12" s="3"/>
      <c r="B12" s="50"/>
      <c r="C12" s="51"/>
      <c r="D12" s="11" t="s">
        <v>38</v>
      </c>
      <c r="E12" s="12" t="s">
        <v>39</v>
      </c>
      <c r="F12" s="12"/>
      <c r="G12" s="12"/>
      <c r="H12" s="12"/>
      <c r="I12" s="12"/>
      <c r="J12" s="12" t="s">
        <v>2</v>
      </c>
      <c r="K12" s="12" t="s">
        <v>2</v>
      </c>
      <c r="L12" s="12"/>
      <c r="M12" s="12">
        <v>0</v>
      </c>
      <c r="N12" s="12">
        <v>1</v>
      </c>
      <c r="O12" s="12">
        <v>1</v>
      </c>
      <c r="P12" s="12">
        <v>0</v>
      </c>
      <c r="Q12" s="10">
        <f t="shared" si="0"/>
        <v>2</v>
      </c>
      <c r="R12" s="9"/>
      <c r="S12" s="9"/>
    </row>
    <row r="13" spans="1:19" ht="35.1" customHeight="1">
      <c r="A13" s="3"/>
      <c r="B13" s="37"/>
      <c r="C13" s="39"/>
      <c r="D13" s="11" t="s">
        <v>40</v>
      </c>
      <c r="E13" s="12" t="s">
        <v>41</v>
      </c>
      <c r="F13" s="12"/>
      <c r="G13" s="12"/>
      <c r="H13" s="12"/>
      <c r="I13" s="12" t="s">
        <v>2</v>
      </c>
      <c r="J13" s="12"/>
      <c r="K13" s="12"/>
      <c r="L13" s="12"/>
      <c r="M13" s="12">
        <v>0</v>
      </c>
      <c r="N13" s="12">
        <v>1</v>
      </c>
      <c r="O13" s="12">
        <v>1</v>
      </c>
      <c r="P13" s="12">
        <v>0</v>
      </c>
      <c r="Q13" s="10">
        <f t="shared" si="0"/>
        <v>2</v>
      </c>
      <c r="R13" s="9"/>
      <c r="S13" s="9"/>
    </row>
    <row r="14" spans="1:19" ht="24.95" customHeight="1">
      <c r="A14" s="3"/>
      <c r="B14" s="55" t="s">
        <v>42</v>
      </c>
      <c r="C14" s="53"/>
      <c r="D14" s="53"/>
      <c r="E14" s="53"/>
      <c r="F14" s="53"/>
      <c r="G14" s="53"/>
      <c r="H14" s="53"/>
      <c r="I14" s="53"/>
      <c r="J14" s="53"/>
      <c r="K14" s="53"/>
      <c r="L14" s="54"/>
      <c r="M14" s="10">
        <f>SUM(M8:M13)</f>
        <v>2</v>
      </c>
      <c r="N14" s="10">
        <f>SUM(N8:N13)</f>
        <v>6</v>
      </c>
      <c r="O14" s="10">
        <f>SUM(O8:O13)</f>
        <v>4</v>
      </c>
      <c r="P14" s="10">
        <f>SUM(P8:P13)</f>
        <v>2</v>
      </c>
      <c r="Q14" s="10">
        <f>SUM(Q8:Q13)</f>
        <v>14</v>
      </c>
      <c r="R14" s="9"/>
      <c r="S14" s="9"/>
    </row>
    <row r="15" spans="1:19" ht="35.1" customHeight="1">
      <c r="A15" s="3"/>
      <c r="B15" s="34" t="s">
        <v>43</v>
      </c>
      <c r="C15" s="36"/>
      <c r="D15" s="11" t="s">
        <v>44</v>
      </c>
      <c r="E15" s="12" t="s">
        <v>45</v>
      </c>
      <c r="F15" s="12"/>
      <c r="G15" s="12"/>
      <c r="H15" s="12"/>
      <c r="I15" s="12" t="s">
        <v>2</v>
      </c>
      <c r="J15" s="12" t="s">
        <v>2</v>
      </c>
      <c r="K15" s="12"/>
      <c r="L15" s="12"/>
      <c r="M15" s="12">
        <v>0</v>
      </c>
      <c r="N15" s="12">
        <v>1</v>
      </c>
      <c r="O15" s="12">
        <v>1</v>
      </c>
      <c r="P15" s="12">
        <v>1</v>
      </c>
      <c r="Q15" s="10">
        <f>SUM(M15:P15)</f>
        <v>3</v>
      </c>
      <c r="R15" s="9"/>
      <c r="S15" s="9"/>
    </row>
    <row r="16" spans="1:19" ht="35.1" customHeight="1">
      <c r="A16" s="3"/>
      <c r="B16" s="50"/>
      <c r="C16" s="51"/>
      <c r="D16" s="11" t="s">
        <v>46</v>
      </c>
      <c r="E16" s="12" t="s">
        <v>47</v>
      </c>
      <c r="F16" s="12"/>
      <c r="G16" s="12" t="s">
        <v>2</v>
      </c>
      <c r="H16" s="12"/>
      <c r="I16" s="12"/>
      <c r="J16" s="12" t="s">
        <v>2</v>
      </c>
      <c r="K16" s="12"/>
      <c r="L16" s="12"/>
      <c r="M16" s="12">
        <v>0</v>
      </c>
      <c r="N16" s="12">
        <v>1</v>
      </c>
      <c r="O16" s="12">
        <v>1</v>
      </c>
      <c r="P16" s="12">
        <v>1</v>
      </c>
      <c r="Q16" s="10">
        <f>SUM(M16:P16)</f>
        <v>3</v>
      </c>
      <c r="R16" s="9"/>
      <c r="S16" s="9"/>
    </row>
    <row r="17" spans="1:19" ht="35.1" customHeight="1">
      <c r="A17" s="3"/>
      <c r="B17" s="37"/>
      <c r="C17" s="39"/>
      <c r="D17" s="11" t="s">
        <v>48</v>
      </c>
      <c r="E17" s="12" t="s">
        <v>49</v>
      </c>
      <c r="F17" s="12"/>
      <c r="G17" s="12"/>
      <c r="H17" s="12"/>
      <c r="I17" s="12" t="s">
        <v>2</v>
      </c>
      <c r="J17" s="12"/>
      <c r="K17" s="12"/>
      <c r="L17" s="12"/>
      <c r="M17" s="12">
        <v>0</v>
      </c>
      <c r="N17" s="12">
        <v>1</v>
      </c>
      <c r="O17" s="12">
        <v>1</v>
      </c>
      <c r="P17" s="12">
        <v>0</v>
      </c>
      <c r="Q17" s="10">
        <f>SUM(M17:P17)</f>
        <v>2</v>
      </c>
      <c r="R17" s="9"/>
      <c r="S17" s="9"/>
    </row>
    <row r="18" spans="1:19" ht="24.95" customHeight="1">
      <c r="A18" s="3"/>
      <c r="B18" s="52" t="s">
        <v>50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  <c r="M18" s="10">
        <f>SUM(M15:M17)</f>
        <v>0</v>
      </c>
      <c r="N18" s="10">
        <f>SUM(N15:N17)</f>
        <v>3</v>
      </c>
      <c r="O18" s="10">
        <f>SUM(O15:O17)</f>
        <v>3</v>
      </c>
      <c r="P18" s="10">
        <f>SUM(P15:P17)</f>
        <v>2</v>
      </c>
      <c r="Q18" s="10">
        <f>SUM(Q15:Q17)</f>
        <v>8</v>
      </c>
      <c r="R18" s="9"/>
      <c r="S18" s="9"/>
    </row>
    <row r="19" spans="1:19" ht="35.1" customHeight="1">
      <c r="A19" s="3"/>
      <c r="B19" s="34" t="s">
        <v>51</v>
      </c>
      <c r="C19" s="36"/>
      <c r="D19" s="11" t="s">
        <v>52</v>
      </c>
      <c r="E19" s="12" t="s">
        <v>53</v>
      </c>
      <c r="F19" s="12" t="s">
        <v>2</v>
      </c>
      <c r="G19" s="12"/>
      <c r="H19" s="12"/>
      <c r="I19" s="12"/>
      <c r="J19" s="12"/>
      <c r="K19" s="12"/>
      <c r="L19" s="12" t="s">
        <v>2</v>
      </c>
      <c r="M19" s="12">
        <v>1</v>
      </c>
      <c r="N19" s="12">
        <v>1</v>
      </c>
      <c r="O19" s="12">
        <v>0</v>
      </c>
      <c r="P19" s="12">
        <v>1</v>
      </c>
      <c r="Q19" s="10">
        <f t="shared" ref="Q19:Q27" si="1">SUM(M19:P19)</f>
        <v>3</v>
      </c>
      <c r="R19" s="9"/>
      <c r="S19" s="9"/>
    </row>
    <row r="20" spans="1:19" ht="35.1" customHeight="1">
      <c r="A20" s="3"/>
      <c r="B20" s="50"/>
      <c r="C20" s="51"/>
      <c r="D20" s="11" t="s">
        <v>54</v>
      </c>
      <c r="E20" s="12" t="s">
        <v>55</v>
      </c>
      <c r="F20" s="12" t="s">
        <v>2</v>
      </c>
      <c r="G20" s="12"/>
      <c r="H20" s="12"/>
      <c r="I20" s="12"/>
      <c r="J20" s="12"/>
      <c r="K20" s="12"/>
      <c r="L20" s="12" t="s">
        <v>2</v>
      </c>
      <c r="M20" s="12">
        <v>1</v>
      </c>
      <c r="N20" s="12">
        <v>1</v>
      </c>
      <c r="O20" s="12">
        <v>0</v>
      </c>
      <c r="P20" s="12">
        <v>0</v>
      </c>
      <c r="Q20" s="10">
        <f t="shared" si="1"/>
        <v>2</v>
      </c>
      <c r="R20" s="9"/>
      <c r="S20" s="9"/>
    </row>
    <row r="21" spans="1:19" ht="35.1" customHeight="1">
      <c r="A21" s="3"/>
      <c r="B21" s="50"/>
      <c r="C21" s="51"/>
      <c r="D21" s="11" t="s">
        <v>56</v>
      </c>
      <c r="E21" s="12" t="s">
        <v>57</v>
      </c>
      <c r="F21" s="12" t="s">
        <v>2</v>
      </c>
      <c r="G21" s="12"/>
      <c r="H21" s="12"/>
      <c r="I21" s="12"/>
      <c r="J21" s="12"/>
      <c r="K21" s="12"/>
      <c r="L21" s="12"/>
      <c r="M21" s="12">
        <v>1</v>
      </c>
      <c r="N21" s="12">
        <v>1</v>
      </c>
      <c r="O21" s="12">
        <v>0</v>
      </c>
      <c r="P21" s="12">
        <v>0</v>
      </c>
      <c r="Q21" s="10">
        <f t="shared" si="1"/>
        <v>2</v>
      </c>
      <c r="R21" s="9"/>
      <c r="S21" s="9"/>
    </row>
    <row r="22" spans="1:19" ht="35.1" customHeight="1">
      <c r="A22" s="3"/>
      <c r="B22" s="50"/>
      <c r="C22" s="51"/>
      <c r="D22" s="11" t="s">
        <v>58</v>
      </c>
      <c r="E22" s="12" t="s">
        <v>59</v>
      </c>
      <c r="F22" s="12" t="s">
        <v>2</v>
      </c>
      <c r="G22" s="12" t="s">
        <v>2</v>
      </c>
      <c r="H22" s="12"/>
      <c r="I22" s="12"/>
      <c r="J22" s="12"/>
      <c r="K22" s="12"/>
      <c r="L22" s="12"/>
      <c r="M22" s="12">
        <v>0</v>
      </c>
      <c r="N22" s="12">
        <v>1</v>
      </c>
      <c r="O22" s="12">
        <v>1</v>
      </c>
      <c r="P22" s="12">
        <v>1</v>
      </c>
      <c r="Q22" s="10">
        <f t="shared" si="1"/>
        <v>3</v>
      </c>
      <c r="R22" s="9"/>
      <c r="S22" s="9"/>
    </row>
    <row r="23" spans="1:19" ht="35.1" customHeight="1">
      <c r="A23" s="3"/>
      <c r="B23" s="50"/>
      <c r="C23" s="51"/>
      <c r="D23" s="11" t="s">
        <v>60</v>
      </c>
      <c r="E23" s="12" t="s">
        <v>61</v>
      </c>
      <c r="F23" s="12"/>
      <c r="G23" s="12" t="s">
        <v>2</v>
      </c>
      <c r="H23" s="12"/>
      <c r="I23" s="12"/>
      <c r="J23" s="12"/>
      <c r="K23" s="12"/>
      <c r="L23" s="12"/>
      <c r="M23" s="12">
        <v>0</v>
      </c>
      <c r="N23" s="12">
        <v>1</v>
      </c>
      <c r="O23" s="12">
        <v>1</v>
      </c>
      <c r="P23" s="12">
        <v>0</v>
      </c>
      <c r="Q23" s="10">
        <f t="shared" si="1"/>
        <v>2</v>
      </c>
      <c r="R23" s="9"/>
      <c r="S23" s="9"/>
    </row>
    <row r="24" spans="1:19" ht="35.1" customHeight="1">
      <c r="A24" s="3"/>
      <c r="B24" s="50"/>
      <c r="C24" s="51"/>
      <c r="D24" s="11" t="s">
        <v>62</v>
      </c>
      <c r="E24" s="12" t="s">
        <v>63</v>
      </c>
      <c r="F24" s="12" t="s">
        <v>2</v>
      </c>
      <c r="G24" s="12" t="s">
        <v>2</v>
      </c>
      <c r="H24" s="12"/>
      <c r="I24" s="12"/>
      <c r="J24" s="12"/>
      <c r="K24" s="12"/>
      <c r="L24" s="12"/>
      <c r="M24" s="12">
        <v>0</v>
      </c>
      <c r="N24" s="12">
        <v>1</v>
      </c>
      <c r="O24" s="12">
        <v>1</v>
      </c>
      <c r="P24" s="12">
        <v>1</v>
      </c>
      <c r="Q24" s="10">
        <f t="shared" si="1"/>
        <v>3</v>
      </c>
      <c r="R24" s="9"/>
      <c r="S24" s="9"/>
    </row>
    <row r="25" spans="1:19" ht="35.1" customHeight="1">
      <c r="A25" s="3"/>
      <c r="B25" s="50"/>
      <c r="C25" s="51"/>
      <c r="D25" s="11" t="s">
        <v>64</v>
      </c>
      <c r="E25" s="12" t="s">
        <v>65</v>
      </c>
      <c r="F25" s="12" t="s">
        <v>2</v>
      </c>
      <c r="G25" s="12"/>
      <c r="H25" s="12"/>
      <c r="I25" s="12"/>
      <c r="J25" s="12"/>
      <c r="K25" s="12"/>
      <c r="L25" s="12"/>
      <c r="M25" s="12">
        <v>1</v>
      </c>
      <c r="N25" s="12">
        <v>1</v>
      </c>
      <c r="O25" s="12">
        <v>1</v>
      </c>
      <c r="P25" s="12">
        <v>1</v>
      </c>
      <c r="Q25" s="10">
        <f t="shared" si="1"/>
        <v>4</v>
      </c>
      <c r="R25" s="9"/>
      <c r="S25" s="9"/>
    </row>
    <row r="26" spans="1:19" ht="35.1" customHeight="1">
      <c r="A26" s="3"/>
      <c r="B26" s="50"/>
      <c r="C26" s="51"/>
      <c r="D26" s="11" t="s">
        <v>66</v>
      </c>
      <c r="E26" s="12" t="s">
        <v>67</v>
      </c>
      <c r="F26" s="12" t="s">
        <v>2</v>
      </c>
      <c r="G26" s="12"/>
      <c r="H26" s="12"/>
      <c r="I26" s="12"/>
      <c r="J26" s="12"/>
      <c r="K26" s="12"/>
      <c r="L26" s="12"/>
      <c r="M26" s="12">
        <v>1</v>
      </c>
      <c r="N26" s="12">
        <v>1</v>
      </c>
      <c r="O26" s="12">
        <v>0</v>
      </c>
      <c r="P26" s="12">
        <v>0</v>
      </c>
      <c r="Q26" s="10">
        <f t="shared" si="1"/>
        <v>2</v>
      </c>
      <c r="R26" s="9"/>
      <c r="S26" s="9"/>
    </row>
    <row r="27" spans="1:19" ht="35.1" customHeight="1">
      <c r="A27" s="3"/>
      <c r="B27" s="37"/>
      <c r="C27" s="39"/>
      <c r="D27" s="11" t="s">
        <v>68</v>
      </c>
      <c r="E27" s="12" t="s">
        <v>69</v>
      </c>
      <c r="F27" s="12" t="s">
        <v>2</v>
      </c>
      <c r="G27" s="12" t="s">
        <v>2</v>
      </c>
      <c r="H27" s="12"/>
      <c r="I27" s="12"/>
      <c r="J27" s="12"/>
      <c r="K27" s="12"/>
      <c r="L27" s="12"/>
      <c r="M27" s="12">
        <v>1</v>
      </c>
      <c r="N27" s="12">
        <v>1</v>
      </c>
      <c r="O27" s="12">
        <v>1</v>
      </c>
      <c r="P27" s="12">
        <v>1</v>
      </c>
      <c r="Q27" s="10">
        <f t="shared" si="1"/>
        <v>4</v>
      </c>
      <c r="R27" s="9"/>
      <c r="S27" s="9"/>
    </row>
    <row r="28" spans="1:19" ht="24.95" customHeight="1">
      <c r="A28" s="1"/>
      <c r="B28" s="52" t="s">
        <v>70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  <c r="M28" s="10">
        <f>SUM(M19:M27)</f>
        <v>6</v>
      </c>
      <c r="N28" s="10">
        <f>SUM(N19:N27)</f>
        <v>9</v>
      </c>
      <c r="O28" s="10">
        <f>SUM(O19:O27)</f>
        <v>5</v>
      </c>
      <c r="P28" s="10">
        <f>SUM(P19:P27)</f>
        <v>5</v>
      </c>
      <c r="Q28" s="10">
        <f>SUM(Q19:Q27)</f>
        <v>25</v>
      </c>
      <c r="R28" s="4"/>
      <c r="S28" s="4"/>
    </row>
    <row r="29" spans="1:19" ht="35.1" customHeight="1">
      <c r="A29" s="1"/>
      <c r="B29" s="34" t="s">
        <v>71</v>
      </c>
      <c r="C29" s="36"/>
      <c r="D29" s="11" t="s">
        <v>72</v>
      </c>
      <c r="E29" s="13" t="s">
        <v>73</v>
      </c>
      <c r="F29" s="13"/>
      <c r="G29" s="13" t="s">
        <v>2</v>
      </c>
      <c r="H29" s="13"/>
      <c r="I29" s="13"/>
      <c r="J29" s="13"/>
      <c r="K29" s="13"/>
      <c r="L29" s="13"/>
      <c r="M29" s="13">
        <v>0</v>
      </c>
      <c r="N29" s="13">
        <v>1</v>
      </c>
      <c r="O29" s="13">
        <v>1</v>
      </c>
      <c r="P29" s="13">
        <v>0</v>
      </c>
      <c r="Q29" s="10">
        <f t="shared" ref="Q29:Q34" si="2">SUM(M29:P29)</f>
        <v>2</v>
      </c>
      <c r="R29" s="4"/>
      <c r="S29" s="4"/>
    </row>
    <row r="30" spans="1:19" ht="35.1" customHeight="1">
      <c r="A30" s="1"/>
      <c r="B30" s="50"/>
      <c r="C30" s="51"/>
      <c r="D30" s="11" t="s">
        <v>74</v>
      </c>
      <c r="E30" s="13" t="s">
        <v>75</v>
      </c>
      <c r="F30" s="13"/>
      <c r="G30" s="13" t="s">
        <v>2</v>
      </c>
      <c r="H30" s="13"/>
      <c r="I30" s="13"/>
      <c r="J30" s="13"/>
      <c r="K30" s="13"/>
      <c r="L30" s="13"/>
      <c r="M30" s="13">
        <v>1</v>
      </c>
      <c r="N30" s="13">
        <v>1</v>
      </c>
      <c r="O30" s="13">
        <v>1</v>
      </c>
      <c r="P30" s="13">
        <v>0</v>
      </c>
      <c r="Q30" s="10">
        <f t="shared" si="2"/>
        <v>3</v>
      </c>
      <c r="R30" s="4"/>
      <c r="S30" s="4"/>
    </row>
    <row r="31" spans="1:19" ht="35.1" customHeight="1">
      <c r="A31" s="1"/>
      <c r="B31" s="50"/>
      <c r="C31" s="51"/>
      <c r="D31" s="11" t="s">
        <v>76</v>
      </c>
      <c r="E31" s="13" t="s">
        <v>77</v>
      </c>
      <c r="F31" s="13"/>
      <c r="G31" s="13" t="s">
        <v>2</v>
      </c>
      <c r="H31" s="13"/>
      <c r="I31" s="13"/>
      <c r="J31" s="13"/>
      <c r="K31" s="13"/>
      <c r="L31" s="13"/>
      <c r="M31" s="13">
        <v>1</v>
      </c>
      <c r="N31" s="13">
        <v>1</v>
      </c>
      <c r="O31" s="13">
        <v>1</v>
      </c>
      <c r="P31" s="13">
        <v>0</v>
      </c>
      <c r="Q31" s="10">
        <f t="shared" si="2"/>
        <v>3</v>
      </c>
      <c r="R31" s="4"/>
      <c r="S31" s="4"/>
    </row>
    <row r="32" spans="1:19" ht="35.1" customHeight="1">
      <c r="A32" s="1"/>
      <c r="B32" s="50"/>
      <c r="C32" s="51"/>
      <c r="D32" s="11" t="s">
        <v>78</v>
      </c>
      <c r="E32" s="13" t="s">
        <v>79</v>
      </c>
      <c r="F32" s="13"/>
      <c r="G32" s="13" t="s">
        <v>2</v>
      </c>
      <c r="H32" s="13"/>
      <c r="I32" s="13"/>
      <c r="J32" s="13"/>
      <c r="K32" s="13"/>
      <c r="L32" s="13"/>
      <c r="M32" s="13">
        <v>1</v>
      </c>
      <c r="N32" s="13">
        <v>1</v>
      </c>
      <c r="O32" s="13">
        <v>1</v>
      </c>
      <c r="P32" s="13">
        <v>1</v>
      </c>
      <c r="Q32" s="10">
        <f t="shared" si="2"/>
        <v>4</v>
      </c>
      <c r="R32" s="4"/>
      <c r="S32" s="4"/>
    </row>
    <row r="33" spans="1:19" ht="35.1" customHeight="1">
      <c r="A33" s="1"/>
      <c r="B33" s="50"/>
      <c r="C33" s="51"/>
      <c r="D33" s="11" t="s">
        <v>80</v>
      </c>
      <c r="E33" s="13" t="s">
        <v>81</v>
      </c>
      <c r="F33" s="13"/>
      <c r="G33" s="13" t="s">
        <v>2</v>
      </c>
      <c r="H33" s="13"/>
      <c r="I33" s="13"/>
      <c r="J33" s="13"/>
      <c r="K33" s="13"/>
      <c r="L33" s="13"/>
      <c r="M33" s="13">
        <v>0</v>
      </c>
      <c r="N33" s="13">
        <v>1</v>
      </c>
      <c r="O33" s="13">
        <v>1</v>
      </c>
      <c r="P33" s="13">
        <v>0</v>
      </c>
      <c r="Q33" s="10">
        <f t="shared" si="2"/>
        <v>2</v>
      </c>
      <c r="R33" s="4"/>
      <c r="S33" s="4"/>
    </row>
    <row r="34" spans="1:19" ht="35.1" customHeight="1">
      <c r="A34" s="1"/>
      <c r="B34" s="37"/>
      <c r="C34" s="39"/>
      <c r="D34" s="11" t="s">
        <v>82</v>
      </c>
      <c r="E34" s="13" t="s">
        <v>83</v>
      </c>
      <c r="F34" s="13"/>
      <c r="G34" s="13" t="s">
        <v>2</v>
      </c>
      <c r="H34" s="13"/>
      <c r="I34" s="13"/>
      <c r="J34" s="13"/>
      <c r="K34" s="13"/>
      <c r="L34" s="13"/>
      <c r="M34" s="13">
        <v>1</v>
      </c>
      <c r="N34" s="13">
        <v>1</v>
      </c>
      <c r="O34" s="13">
        <v>0</v>
      </c>
      <c r="P34" s="13">
        <v>0</v>
      </c>
      <c r="Q34" s="10">
        <f t="shared" si="2"/>
        <v>2</v>
      </c>
      <c r="R34" s="4"/>
      <c r="S34" s="4"/>
    </row>
    <row r="35" spans="1:19" ht="24.95" customHeight="1">
      <c r="A35" s="1"/>
      <c r="B35" s="52" t="s">
        <v>84</v>
      </c>
      <c r="C35" s="53"/>
      <c r="D35" s="53"/>
      <c r="E35" s="53"/>
      <c r="F35" s="53"/>
      <c r="G35" s="53"/>
      <c r="H35" s="53"/>
      <c r="I35" s="53"/>
      <c r="J35" s="53"/>
      <c r="K35" s="53"/>
      <c r="L35" s="54"/>
      <c r="M35" s="10">
        <f>SUM(M29:M34)</f>
        <v>4</v>
      </c>
      <c r="N35" s="10">
        <f>SUM(N29:N34)</f>
        <v>6</v>
      </c>
      <c r="O35" s="10">
        <f>SUM(O29:O34)</f>
        <v>5</v>
      </c>
      <c r="P35" s="10">
        <f>SUM(P29:P34)</f>
        <v>1</v>
      </c>
      <c r="Q35" s="10">
        <f>SUM(Q29:Q34)</f>
        <v>16</v>
      </c>
      <c r="R35" s="4"/>
      <c r="S35" s="4"/>
    </row>
    <row r="36" spans="1:19" ht="24.95" customHeight="1">
      <c r="A36" s="1"/>
      <c r="B36" s="60" t="s">
        <v>383</v>
      </c>
      <c r="C36" s="56"/>
      <c r="D36" s="56"/>
      <c r="E36" s="56"/>
      <c r="F36" s="56"/>
      <c r="G36" s="56"/>
      <c r="H36" s="56"/>
      <c r="I36" s="56"/>
      <c r="J36" s="56"/>
      <c r="K36" s="56"/>
      <c r="L36" s="57"/>
      <c r="M36" s="14">
        <f>M14+M18+M28+M35</f>
        <v>12</v>
      </c>
      <c r="N36" s="14">
        <f>N14+N18+N28+N35</f>
        <v>24</v>
      </c>
      <c r="O36" s="14">
        <f>O14+O18+O28+O35</f>
        <v>17</v>
      </c>
      <c r="P36" s="14">
        <f>P14+P18+P28+P35</f>
        <v>10</v>
      </c>
      <c r="Q36" s="14">
        <f>Q14+Q18+Q28+Q35</f>
        <v>63</v>
      </c>
      <c r="R36" s="4"/>
      <c r="S36" s="4"/>
    </row>
    <row r="37" spans="1:19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ht="20.100000000000001" customHeight="1">
      <c r="A38" s="1"/>
      <c r="B38" s="58" t="s">
        <v>381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9"/>
      <c r="R38" s="4"/>
      <c r="S38" s="4"/>
    </row>
    <row r="39" spans="1:19" ht="24.95" customHeight="1">
      <c r="A39" s="1"/>
      <c r="B39" s="47" t="s">
        <v>86</v>
      </c>
      <c r="C39" s="48"/>
      <c r="D39" s="49"/>
      <c r="E39" s="65" t="s">
        <v>87</v>
      </c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7"/>
      <c r="R39" s="4"/>
      <c r="S39" s="4"/>
    </row>
    <row r="40" spans="1:19" ht="24.95" customHeight="1">
      <c r="A40" s="1"/>
      <c r="B40" s="47" t="s">
        <v>88</v>
      </c>
      <c r="C40" s="48"/>
      <c r="D40" s="49"/>
      <c r="E40" s="65" t="s">
        <v>89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7"/>
      <c r="R40" s="4"/>
      <c r="S40" s="4"/>
    </row>
    <row r="41" spans="1:19" ht="24.95" customHeight="1">
      <c r="A41" s="1"/>
      <c r="B41" s="47" t="s">
        <v>90</v>
      </c>
      <c r="C41" s="48"/>
      <c r="D41" s="49"/>
      <c r="E41" s="65" t="s">
        <v>91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7"/>
      <c r="R41" s="4"/>
      <c r="S41" s="4"/>
    </row>
    <row r="42" spans="1:19" ht="24.95" customHeight="1">
      <c r="A42" s="1"/>
      <c r="B42" s="20" t="s">
        <v>92</v>
      </c>
      <c r="C42" s="20"/>
      <c r="D42" s="20"/>
      <c r="E42" s="68" t="s">
        <v>93</v>
      </c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4"/>
      <c r="S42" s="4"/>
    </row>
    <row r="43" spans="1:19" ht="24.95" customHeight="1">
      <c r="A43" s="1"/>
      <c r="B43" s="20" t="s">
        <v>94</v>
      </c>
      <c r="C43" s="20"/>
      <c r="D43" s="20"/>
      <c r="E43" s="68" t="s">
        <v>95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4"/>
      <c r="S43" s="4"/>
    </row>
    <row r="44" spans="1:19" ht="24.95" customHeight="1">
      <c r="A44" s="1"/>
      <c r="B44" s="20" t="s">
        <v>96</v>
      </c>
      <c r="C44" s="20"/>
      <c r="D44" s="20"/>
      <c r="E44" s="68" t="s">
        <v>97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4"/>
      <c r="S44" s="4"/>
    </row>
    <row r="45" spans="1:19" ht="24.95" customHeight="1">
      <c r="A45" s="1"/>
      <c r="B45" s="20" t="s">
        <v>98</v>
      </c>
      <c r="C45" s="20"/>
      <c r="D45" s="20"/>
      <c r="E45" s="68" t="s">
        <v>99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4"/>
      <c r="S45" s="4"/>
    </row>
    <row r="46" spans="1:19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ht="27.4" customHeight="1">
      <c r="A47" s="1"/>
      <c r="B47" s="27" t="s">
        <v>100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4"/>
      <c r="S47" s="4"/>
    </row>
    <row r="48" spans="1:19">
      <c r="C48" s="2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</row>
    <row r="49" s="2" customFormat="1"/>
  </sheetData>
  <mergeCells count="46">
    <mergeCell ref="B45:D45"/>
    <mergeCell ref="E45:Q45"/>
    <mergeCell ref="B47:Q47"/>
    <mergeCell ref="B42:D42"/>
    <mergeCell ref="E42:Q42"/>
    <mergeCell ref="B43:D43"/>
    <mergeCell ref="E43:Q43"/>
    <mergeCell ref="B44:D44"/>
    <mergeCell ref="E44:Q44"/>
    <mergeCell ref="B39:D39"/>
    <mergeCell ref="E39:Q39"/>
    <mergeCell ref="B40:D40"/>
    <mergeCell ref="E40:Q40"/>
    <mergeCell ref="B41:D41"/>
    <mergeCell ref="E41:Q41"/>
    <mergeCell ref="B28:L28"/>
    <mergeCell ref="B29:C34"/>
    <mergeCell ref="B35:L35"/>
    <mergeCell ref="B36:L36"/>
    <mergeCell ref="B38:Q38"/>
    <mergeCell ref="B8:C13"/>
    <mergeCell ref="B14:L14"/>
    <mergeCell ref="B15:C17"/>
    <mergeCell ref="B18:L18"/>
    <mergeCell ref="B19:C27"/>
    <mergeCell ref="M6:M7"/>
    <mergeCell ref="N6:N7"/>
    <mergeCell ref="O6:O7"/>
    <mergeCell ref="P6:P7"/>
    <mergeCell ref="Q6:Q7"/>
    <mergeCell ref="H6:H7"/>
    <mergeCell ref="I6:I7"/>
    <mergeCell ref="J6:J7"/>
    <mergeCell ref="K6:K7"/>
    <mergeCell ref="L6:L7"/>
    <mergeCell ref="B6:C7"/>
    <mergeCell ref="D6:D7"/>
    <mergeCell ref="E6:E7"/>
    <mergeCell ref="F6:F7"/>
    <mergeCell ref="G6:G7"/>
    <mergeCell ref="B2:Q3"/>
    <mergeCell ref="B4:C5"/>
    <mergeCell ref="D4:D5"/>
    <mergeCell ref="E4:E5"/>
    <mergeCell ref="F4:L5"/>
    <mergeCell ref="M4:Q5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2"/>
  <sheetViews>
    <sheetView topLeftCell="A55" zoomScale="84" zoomScaleNormal="84" workbookViewId="0">
      <selection activeCell="E61" sqref="E61:R61"/>
    </sheetView>
  </sheetViews>
  <sheetFormatPr baseColWidth="10" defaultColWidth="9.140625" defaultRowHeight="15"/>
  <cols>
    <col min="1" max="1" width="3" style="2" customWidth="1"/>
    <col min="2" max="2" width="5" style="2" customWidth="1"/>
    <col min="3" max="3" width="18" customWidth="1"/>
    <col min="4" max="4" width="12" customWidth="1"/>
    <col min="5" max="5" width="34" style="2" customWidth="1"/>
    <col min="6" max="6" width="15.7109375" style="2" customWidth="1"/>
    <col min="7" max="13" width="15.7109375" customWidth="1"/>
    <col min="14" max="14" width="6" style="2" customWidth="1"/>
    <col min="15" max="18" width="6" customWidth="1"/>
    <col min="19" max="19" width="6" style="2" customWidth="1"/>
    <col min="20" max="16384" width="9.140625" style="2"/>
  </cols>
  <sheetData>
    <row r="1" spans="1:23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>
      <c r="A2" s="3"/>
      <c r="B2" s="64" t="s">
        <v>385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3"/>
      <c r="T2" s="3"/>
      <c r="U2" s="3"/>
      <c r="V2" s="3"/>
      <c r="W2" s="3"/>
    </row>
    <row r="3" spans="1:23" ht="15" customHeight="1">
      <c r="A3" s="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3"/>
      <c r="T3" s="3"/>
      <c r="U3" s="3"/>
      <c r="V3" s="3"/>
      <c r="W3" s="3"/>
    </row>
    <row r="4" spans="1:23" ht="15" customHeight="1">
      <c r="A4" s="3"/>
      <c r="B4" s="19" t="s">
        <v>17</v>
      </c>
      <c r="C4" s="19"/>
      <c r="D4" s="19" t="s">
        <v>18</v>
      </c>
      <c r="E4" s="19" t="s">
        <v>19</v>
      </c>
      <c r="F4" s="19" t="s">
        <v>20</v>
      </c>
      <c r="G4" s="19"/>
      <c r="H4" s="19"/>
      <c r="I4" s="19"/>
      <c r="J4" s="19"/>
      <c r="K4" s="19"/>
      <c r="L4" s="19"/>
      <c r="M4" s="19"/>
      <c r="N4" s="19" t="s">
        <v>21</v>
      </c>
      <c r="O4" s="19"/>
      <c r="P4" s="19"/>
      <c r="Q4" s="19"/>
      <c r="R4" s="19"/>
      <c r="S4" s="3"/>
      <c r="T4" s="3"/>
      <c r="U4" s="3"/>
      <c r="V4" s="3"/>
      <c r="W4" s="3"/>
    </row>
    <row r="5" spans="1:23" ht="15" customHeight="1">
      <c r="A5" s="3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3"/>
      <c r="T5" s="3"/>
      <c r="U5" s="3"/>
      <c r="V5" s="3"/>
      <c r="W5" s="3"/>
    </row>
    <row r="6" spans="1:23" ht="30" customHeight="1">
      <c r="A6" s="3"/>
      <c r="B6" s="21"/>
      <c r="C6" s="22"/>
      <c r="D6" s="25"/>
      <c r="E6" s="25"/>
      <c r="F6" s="19" t="s">
        <v>101</v>
      </c>
      <c r="G6" s="19" t="s">
        <v>102</v>
      </c>
      <c r="H6" s="19" t="s">
        <v>103</v>
      </c>
      <c r="I6" s="19" t="s">
        <v>104</v>
      </c>
      <c r="J6" s="19" t="s">
        <v>105</v>
      </c>
      <c r="K6" s="19" t="s">
        <v>106</v>
      </c>
      <c r="L6" s="19" t="s">
        <v>107</v>
      </c>
      <c r="M6" s="19" t="s">
        <v>108</v>
      </c>
      <c r="N6" s="19" t="s">
        <v>1</v>
      </c>
      <c r="O6" s="19" t="s">
        <v>2</v>
      </c>
      <c r="P6" s="19" t="s">
        <v>3</v>
      </c>
      <c r="Q6" s="19" t="s">
        <v>4</v>
      </c>
      <c r="R6" s="19" t="s">
        <v>5</v>
      </c>
      <c r="S6" s="3"/>
      <c r="T6" s="3"/>
      <c r="U6" s="3"/>
      <c r="V6" s="3"/>
      <c r="W6" s="3"/>
    </row>
    <row r="7" spans="1:23" ht="27.75" customHeight="1">
      <c r="A7" s="3"/>
      <c r="B7" s="23"/>
      <c r="C7" s="24"/>
      <c r="D7" s="26"/>
      <c r="E7" s="26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3"/>
      <c r="T7" s="3"/>
      <c r="U7" s="3"/>
      <c r="V7" s="3"/>
      <c r="W7" s="3"/>
    </row>
    <row r="8" spans="1:23" ht="35.1" customHeight="1">
      <c r="A8" s="3"/>
      <c r="B8" s="19" t="s">
        <v>109</v>
      </c>
      <c r="C8" s="19"/>
      <c r="D8" s="11" t="s">
        <v>110</v>
      </c>
      <c r="E8" s="12" t="s">
        <v>111</v>
      </c>
      <c r="F8" s="12" t="s">
        <v>2</v>
      </c>
      <c r="G8" s="12"/>
      <c r="H8" s="12"/>
      <c r="I8" s="12"/>
      <c r="J8" s="12"/>
      <c r="K8" s="12"/>
      <c r="L8" s="12"/>
      <c r="M8" s="12"/>
      <c r="N8" s="12">
        <v>1</v>
      </c>
      <c r="O8" s="12">
        <v>1</v>
      </c>
      <c r="P8" s="12">
        <v>1</v>
      </c>
      <c r="Q8" s="12">
        <v>0</v>
      </c>
      <c r="R8" s="10">
        <f t="shared" ref="R8:R13" si="0">SUM(N8:Q8)</f>
        <v>3</v>
      </c>
      <c r="S8" s="3"/>
      <c r="T8" s="3"/>
      <c r="U8" s="3"/>
      <c r="V8" s="3"/>
      <c r="W8" s="3"/>
    </row>
    <row r="9" spans="1:23" ht="35.1" customHeight="1">
      <c r="A9" s="3"/>
      <c r="B9" s="19"/>
      <c r="C9" s="19"/>
      <c r="D9" s="11" t="s">
        <v>112</v>
      </c>
      <c r="E9" s="12" t="s">
        <v>113</v>
      </c>
      <c r="F9" s="12" t="s">
        <v>2</v>
      </c>
      <c r="G9" s="12"/>
      <c r="H9" s="12"/>
      <c r="I9" s="12"/>
      <c r="J9" s="12"/>
      <c r="K9" s="12"/>
      <c r="L9" s="12"/>
      <c r="M9" s="12"/>
      <c r="N9" s="12">
        <v>1</v>
      </c>
      <c r="O9" s="12">
        <v>1</v>
      </c>
      <c r="P9" s="12">
        <v>1</v>
      </c>
      <c r="Q9" s="12">
        <v>0</v>
      </c>
      <c r="R9" s="10">
        <f t="shared" si="0"/>
        <v>3</v>
      </c>
      <c r="S9" s="3"/>
      <c r="T9" s="3"/>
      <c r="U9" s="3"/>
      <c r="V9" s="3"/>
      <c r="W9" s="3"/>
    </row>
    <row r="10" spans="1:23" ht="35.1" customHeight="1">
      <c r="A10" s="3"/>
      <c r="B10" s="19"/>
      <c r="C10" s="19"/>
      <c r="D10" s="11" t="s">
        <v>114</v>
      </c>
      <c r="E10" s="12" t="s">
        <v>115</v>
      </c>
      <c r="F10" s="12" t="s">
        <v>2</v>
      </c>
      <c r="G10" s="12"/>
      <c r="H10" s="12"/>
      <c r="I10" s="12"/>
      <c r="J10" s="12"/>
      <c r="K10" s="12"/>
      <c r="L10" s="12"/>
      <c r="M10" s="12"/>
      <c r="N10" s="12">
        <v>1</v>
      </c>
      <c r="O10" s="12">
        <v>1</v>
      </c>
      <c r="P10" s="12">
        <v>1</v>
      </c>
      <c r="Q10" s="12">
        <v>0</v>
      </c>
      <c r="R10" s="10">
        <f t="shared" si="0"/>
        <v>3</v>
      </c>
      <c r="S10" s="3"/>
      <c r="T10" s="3"/>
      <c r="U10" s="3"/>
      <c r="V10" s="3"/>
      <c r="W10" s="3"/>
    </row>
    <row r="11" spans="1:23" ht="35.1" customHeight="1">
      <c r="A11" s="3"/>
      <c r="B11" s="19"/>
      <c r="C11" s="19"/>
      <c r="D11" s="11" t="s">
        <v>116</v>
      </c>
      <c r="E11" s="12" t="s">
        <v>117</v>
      </c>
      <c r="F11" s="12" t="s">
        <v>2</v>
      </c>
      <c r="G11" s="12"/>
      <c r="H11" s="12"/>
      <c r="I11" s="12"/>
      <c r="J11" s="12"/>
      <c r="K11" s="12"/>
      <c r="L11" s="12"/>
      <c r="M11" s="12"/>
      <c r="N11" s="12">
        <v>1</v>
      </c>
      <c r="O11" s="12">
        <v>1</v>
      </c>
      <c r="P11" s="12">
        <v>1</v>
      </c>
      <c r="Q11" s="12">
        <v>0</v>
      </c>
      <c r="R11" s="10">
        <f t="shared" si="0"/>
        <v>3</v>
      </c>
      <c r="S11" s="3"/>
      <c r="T11" s="3"/>
      <c r="U11" s="3"/>
      <c r="V11" s="3"/>
      <c r="W11" s="3"/>
    </row>
    <row r="12" spans="1:23" ht="35.1" customHeight="1">
      <c r="A12" s="3"/>
      <c r="B12" s="19"/>
      <c r="C12" s="19"/>
      <c r="D12" s="11" t="s">
        <v>118</v>
      </c>
      <c r="E12" s="12" t="s">
        <v>119</v>
      </c>
      <c r="F12" s="12" t="s">
        <v>2</v>
      </c>
      <c r="G12" s="12"/>
      <c r="H12" s="12"/>
      <c r="I12" s="12"/>
      <c r="J12" s="12"/>
      <c r="K12" s="12"/>
      <c r="L12" s="12"/>
      <c r="M12" s="12"/>
      <c r="N12" s="12">
        <v>1</v>
      </c>
      <c r="O12" s="12">
        <v>1</v>
      </c>
      <c r="P12" s="12">
        <v>1</v>
      </c>
      <c r="Q12" s="12">
        <v>0</v>
      </c>
      <c r="R12" s="10">
        <f t="shared" si="0"/>
        <v>3</v>
      </c>
      <c r="S12" s="3"/>
      <c r="T12" s="3"/>
      <c r="U12" s="3"/>
      <c r="V12" s="3"/>
      <c r="W12" s="3"/>
    </row>
    <row r="13" spans="1:23" ht="35.1" customHeight="1">
      <c r="A13" s="3"/>
      <c r="B13" s="19"/>
      <c r="C13" s="19"/>
      <c r="D13" s="11" t="s">
        <v>120</v>
      </c>
      <c r="E13" s="12" t="s">
        <v>121</v>
      </c>
      <c r="F13" s="12" t="s">
        <v>2</v>
      </c>
      <c r="G13" s="12"/>
      <c r="H13" s="12"/>
      <c r="I13" s="12"/>
      <c r="J13" s="12"/>
      <c r="K13" s="12"/>
      <c r="L13" s="12"/>
      <c r="M13" s="12"/>
      <c r="N13" s="12">
        <v>1</v>
      </c>
      <c r="O13" s="12">
        <v>1</v>
      </c>
      <c r="P13" s="12">
        <v>1</v>
      </c>
      <c r="Q13" s="12">
        <v>0</v>
      </c>
      <c r="R13" s="10">
        <f t="shared" si="0"/>
        <v>3</v>
      </c>
      <c r="S13" s="3"/>
      <c r="T13" s="3"/>
      <c r="U13" s="3"/>
      <c r="V13" s="3"/>
      <c r="W13" s="3"/>
    </row>
    <row r="14" spans="1:23" ht="24.95" customHeight="1">
      <c r="A14" s="3"/>
      <c r="B14" s="61" t="s">
        <v>122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10">
        <f>SUM(N8:N13)</f>
        <v>6</v>
      </c>
      <c r="O14" s="10">
        <f>SUM(O8:O13)</f>
        <v>6</v>
      </c>
      <c r="P14" s="10">
        <f>SUM(P8:P13)</f>
        <v>6</v>
      </c>
      <c r="Q14" s="10">
        <f>SUM(Q8:Q13)</f>
        <v>0</v>
      </c>
      <c r="R14" s="10">
        <f>SUM(R8:R13)</f>
        <v>18</v>
      </c>
      <c r="S14" s="3"/>
      <c r="T14" s="3"/>
      <c r="U14" s="3"/>
      <c r="V14" s="3"/>
      <c r="W14" s="3"/>
    </row>
    <row r="15" spans="1:23" ht="35.1" customHeight="1">
      <c r="A15" s="3"/>
      <c r="B15" s="19" t="s">
        <v>123</v>
      </c>
      <c r="C15" s="19"/>
      <c r="D15" s="11" t="s">
        <v>124</v>
      </c>
      <c r="E15" s="12" t="s">
        <v>125</v>
      </c>
      <c r="F15" s="12" t="s">
        <v>2</v>
      </c>
      <c r="G15" s="12" t="s">
        <v>2</v>
      </c>
      <c r="H15" s="12"/>
      <c r="I15" s="12"/>
      <c r="J15" s="12"/>
      <c r="K15" s="12"/>
      <c r="L15" s="12"/>
      <c r="M15" s="12"/>
      <c r="N15" s="12">
        <v>1</v>
      </c>
      <c r="O15" s="12">
        <v>1</v>
      </c>
      <c r="P15" s="12">
        <v>1</v>
      </c>
      <c r="Q15" s="12">
        <v>1</v>
      </c>
      <c r="R15" s="10">
        <f t="shared" ref="R15:R20" si="1">SUM(N15:Q15)</f>
        <v>4</v>
      </c>
      <c r="S15" s="3"/>
      <c r="T15" s="3"/>
      <c r="U15" s="3"/>
      <c r="V15" s="3"/>
      <c r="W15" s="3"/>
    </row>
    <row r="16" spans="1:23" ht="35.1" customHeight="1">
      <c r="A16" s="3"/>
      <c r="B16" s="19"/>
      <c r="C16" s="19"/>
      <c r="D16" s="11" t="s">
        <v>126</v>
      </c>
      <c r="E16" s="12" t="s">
        <v>127</v>
      </c>
      <c r="F16" s="12"/>
      <c r="G16" s="12" t="s">
        <v>2</v>
      </c>
      <c r="H16" s="12"/>
      <c r="I16" s="12"/>
      <c r="J16" s="12"/>
      <c r="K16" s="12"/>
      <c r="L16" s="12"/>
      <c r="M16" s="12"/>
      <c r="N16" s="12">
        <v>1</v>
      </c>
      <c r="O16" s="12">
        <v>1</v>
      </c>
      <c r="P16" s="12">
        <v>1</v>
      </c>
      <c r="Q16" s="12">
        <v>0</v>
      </c>
      <c r="R16" s="10">
        <f t="shared" si="1"/>
        <v>3</v>
      </c>
      <c r="S16" s="3"/>
      <c r="T16" s="3"/>
      <c r="U16" s="3"/>
      <c r="V16" s="3"/>
      <c r="W16" s="3"/>
    </row>
    <row r="17" spans="1:23" ht="35.1" customHeight="1">
      <c r="A17" s="3"/>
      <c r="B17" s="19"/>
      <c r="C17" s="19"/>
      <c r="D17" s="11" t="s">
        <v>128</v>
      </c>
      <c r="E17" s="12" t="s">
        <v>129</v>
      </c>
      <c r="F17" s="12"/>
      <c r="G17" s="12" t="s">
        <v>2</v>
      </c>
      <c r="H17" s="12"/>
      <c r="I17" s="12"/>
      <c r="J17" s="12"/>
      <c r="K17" s="12"/>
      <c r="L17" s="12"/>
      <c r="M17" s="12"/>
      <c r="N17" s="12">
        <v>1</v>
      </c>
      <c r="O17" s="12">
        <v>1</v>
      </c>
      <c r="P17" s="12">
        <v>0</v>
      </c>
      <c r="Q17" s="12">
        <v>0</v>
      </c>
      <c r="R17" s="10">
        <f t="shared" si="1"/>
        <v>2</v>
      </c>
      <c r="S17" s="3"/>
      <c r="T17" s="3"/>
      <c r="U17" s="3"/>
      <c r="V17" s="3"/>
      <c r="W17" s="3"/>
    </row>
    <row r="18" spans="1:23" ht="35.1" customHeight="1">
      <c r="A18" s="3"/>
      <c r="B18" s="19"/>
      <c r="C18" s="19"/>
      <c r="D18" s="11" t="s">
        <v>130</v>
      </c>
      <c r="E18" s="12" t="s">
        <v>131</v>
      </c>
      <c r="F18" s="12"/>
      <c r="G18" s="12" t="s">
        <v>2</v>
      </c>
      <c r="H18" s="12" t="s">
        <v>2</v>
      </c>
      <c r="I18" s="12"/>
      <c r="J18" s="12"/>
      <c r="K18" s="12"/>
      <c r="L18" s="12"/>
      <c r="M18" s="12"/>
      <c r="N18" s="12">
        <v>1</v>
      </c>
      <c r="O18" s="12">
        <v>1</v>
      </c>
      <c r="P18" s="12">
        <v>1</v>
      </c>
      <c r="Q18" s="12">
        <v>1</v>
      </c>
      <c r="R18" s="10">
        <f t="shared" si="1"/>
        <v>4</v>
      </c>
      <c r="S18" s="3"/>
      <c r="T18" s="3"/>
      <c r="U18" s="3"/>
      <c r="V18" s="3"/>
      <c r="W18" s="3"/>
    </row>
    <row r="19" spans="1:23" ht="35.1" customHeight="1">
      <c r="A19" s="3"/>
      <c r="B19" s="19"/>
      <c r="C19" s="19"/>
      <c r="D19" s="11" t="s">
        <v>132</v>
      </c>
      <c r="E19" s="12" t="s">
        <v>133</v>
      </c>
      <c r="F19" s="12"/>
      <c r="G19" s="12" t="s">
        <v>2</v>
      </c>
      <c r="H19" s="12"/>
      <c r="I19" s="12"/>
      <c r="J19" s="12"/>
      <c r="K19" s="12"/>
      <c r="L19" s="12"/>
      <c r="M19" s="12"/>
      <c r="N19" s="12">
        <v>1</v>
      </c>
      <c r="O19" s="12">
        <v>1</v>
      </c>
      <c r="P19" s="12">
        <v>1</v>
      </c>
      <c r="Q19" s="12">
        <v>1</v>
      </c>
      <c r="R19" s="10">
        <f t="shared" si="1"/>
        <v>4</v>
      </c>
      <c r="S19" s="3"/>
      <c r="T19" s="3"/>
      <c r="U19" s="3"/>
      <c r="V19" s="3"/>
      <c r="W19" s="3"/>
    </row>
    <row r="20" spans="1:23" ht="35.1" customHeight="1">
      <c r="A20" s="3"/>
      <c r="B20" s="19"/>
      <c r="C20" s="19"/>
      <c r="D20" s="11" t="s">
        <v>134</v>
      </c>
      <c r="E20" s="12" t="s">
        <v>135</v>
      </c>
      <c r="F20" s="12"/>
      <c r="G20" s="12"/>
      <c r="H20" s="12" t="s">
        <v>2</v>
      </c>
      <c r="I20" s="12"/>
      <c r="J20" s="12"/>
      <c r="K20" s="12"/>
      <c r="L20" s="12"/>
      <c r="M20" s="12"/>
      <c r="N20" s="12">
        <v>1</v>
      </c>
      <c r="O20" s="12">
        <v>1</v>
      </c>
      <c r="P20" s="12">
        <v>1</v>
      </c>
      <c r="Q20" s="12">
        <v>0</v>
      </c>
      <c r="R20" s="10">
        <f t="shared" si="1"/>
        <v>3</v>
      </c>
      <c r="S20" s="3"/>
      <c r="T20" s="3"/>
      <c r="U20" s="3"/>
      <c r="V20" s="3"/>
      <c r="W20" s="3"/>
    </row>
    <row r="21" spans="1:23" ht="24.95" customHeight="1">
      <c r="A21" s="3"/>
      <c r="B21" s="61" t="s">
        <v>136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10">
        <f>SUM(N15:N20)</f>
        <v>6</v>
      </c>
      <c r="O21" s="10">
        <f>SUM(O15:O20)</f>
        <v>6</v>
      </c>
      <c r="P21" s="10">
        <f>SUM(P15:P20)</f>
        <v>5</v>
      </c>
      <c r="Q21" s="10">
        <f>SUM(Q15:Q20)</f>
        <v>3</v>
      </c>
      <c r="R21" s="10">
        <f>SUM(R15:R20)</f>
        <v>20</v>
      </c>
      <c r="S21" s="3"/>
      <c r="T21" s="3"/>
      <c r="U21" s="3"/>
      <c r="V21" s="3"/>
      <c r="W21" s="3"/>
    </row>
    <row r="22" spans="1:23" ht="35.1" customHeight="1">
      <c r="A22" s="3"/>
      <c r="B22" s="19" t="s">
        <v>137</v>
      </c>
      <c r="C22" s="19"/>
      <c r="D22" s="11" t="s">
        <v>138</v>
      </c>
      <c r="E22" s="12" t="s">
        <v>139</v>
      </c>
      <c r="F22" s="12"/>
      <c r="G22" s="12"/>
      <c r="H22" s="12"/>
      <c r="I22" s="12" t="s">
        <v>2</v>
      </c>
      <c r="J22" s="12"/>
      <c r="K22" s="12"/>
      <c r="L22" s="12"/>
      <c r="M22" s="12"/>
      <c r="N22" s="12">
        <v>1</v>
      </c>
      <c r="O22" s="12">
        <v>1</v>
      </c>
      <c r="P22" s="12">
        <v>0</v>
      </c>
      <c r="Q22" s="12">
        <v>1</v>
      </c>
      <c r="R22" s="10">
        <f t="shared" ref="R22:R27" si="2">SUM(N22:Q22)</f>
        <v>3</v>
      </c>
      <c r="S22" s="3"/>
      <c r="T22" s="3"/>
      <c r="U22" s="3"/>
      <c r="V22" s="3"/>
      <c r="W22" s="3"/>
    </row>
    <row r="23" spans="1:23" ht="35.1" customHeight="1">
      <c r="A23" s="3"/>
      <c r="B23" s="19"/>
      <c r="C23" s="19"/>
      <c r="D23" s="11" t="s">
        <v>140</v>
      </c>
      <c r="E23" s="12" t="s">
        <v>141</v>
      </c>
      <c r="F23" s="12"/>
      <c r="G23" s="12"/>
      <c r="H23" s="12"/>
      <c r="I23" s="12" t="s">
        <v>2</v>
      </c>
      <c r="J23" s="12"/>
      <c r="K23" s="12"/>
      <c r="L23" s="12"/>
      <c r="M23" s="12"/>
      <c r="N23" s="12">
        <v>0</v>
      </c>
      <c r="O23" s="12">
        <v>1</v>
      </c>
      <c r="P23" s="12">
        <v>1</v>
      </c>
      <c r="Q23" s="12">
        <v>0</v>
      </c>
      <c r="R23" s="10">
        <f t="shared" si="2"/>
        <v>2</v>
      </c>
      <c r="S23" s="3"/>
      <c r="T23" s="3"/>
      <c r="U23" s="3"/>
      <c r="V23" s="3"/>
      <c r="W23" s="3"/>
    </row>
    <row r="24" spans="1:23" ht="35.1" customHeight="1">
      <c r="A24" s="3"/>
      <c r="B24" s="19"/>
      <c r="C24" s="19"/>
      <c r="D24" s="11" t="s">
        <v>142</v>
      </c>
      <c r="E24" s="12" t="s">
        <v>143</v>
      </c>
      <c r="F24" s="12"/>
      <c r="G24" s="12"/>
      <c r="H24" s="12"/>
      <c r="I24" s="12" t="s">
        <v>2</v>
      </c>
      <c r="J24" s="12"/>
      <c r="K24" s="12"/>
      <c r="L24" s="12"/>
      <c r="M24" s="12"/>
      <c r="N24" s="12">
        <v>1</v>
      </c>
      <c r="O24" s="12">
        <v>1</v>
      </c>
      <c r="P24" s="12">
        <v>0</v>
      </c>
      <c r="Q24" s="12">
        <v>0</v>
      </c>
      <c r="R24" s="10">
        <f t="shared" si="2"/>
        <v>2</v>
      </c>
      <c r="S24" s="3"/>
      <c r="T24" s="3"/>
      <c r="U24" s="3"/>
      <c r="V24" s="3"/>
      <c r="W24" s="3"/>
    </row>
    <row r="25" spans="1:23" ht="35.1" customHeight="1">
      <c r="A25" s="3"/>
      <c r="B25" s="19"/>
      <c r="C25" s="19"/>
      <c r="D25" s="11" t="s">
        <v>144</v>
      </c>
      <c r="E25" s="12" t="s">
        <v>145</v>
      </c>
      <c r="F25" s="12"/>
      <c r="G25" s="12"/>
      <c r="H25" s="12"/>
      <c r="I25" s="12" t="s">
        <v>2</v>
      </c>
      <c r="J25" s="12"/>
      <c r="K25" s="12"/>
      <c r="L25" s="12"/>
      <c r="M25" s="12"/>
      <c r="N25" s="12">
        <v>1</v>
      </c>
      <c r="O25" s="12">
        <v>1</v>
      </c>
      <c r="P25" s="12">
        <v>0</v>
      </c>
      <c r="Q25" s="12">
        <v>1</v>
      </c>
      <c r="R25" s="10">
        <f t="shared" si="2"/>
        <v>3</v>
      </c>
      <c r="S25" s="3"/>
      <c r="T25" s="3"/>
      <c r="U25" s="3"/>
      <c r="V25" s="3"/>
      <c r="W25" s="3"/>
    </row>
    <row r="26" spans="1:23" ht="35.1" customHeight="1">
      <c r="A26" s="3"/>
      <c r="B26" s="19"/>
      <c r="C26" s="19"/>
      <c r="D26" s="11" t="s">
        <v>146</v>
      </c>
      <c r="E26" s="12" t="s">
        <v>147</v>
      </c>
      <c r="F26" s="12"/>
      <c r="G26" s="12" t="s">
        <v>2</v>
      </c>
      <c r="H26" s="12"/>
      <c r="I26" s="12" t="s">
        <v>2</v>
      </c>
      <c r="J26" s="12"/>
      <c r="K26" s="12"/>
      <c r="L26" s="12"/>
      <c r="M26" s="12"/>
      <c r="N26" s="12">
        <v>1</v>
      </c>
      <c r="O26" s="12">
        <v>1</v>
      </c>
      <c r="P26" s="12">
        <v>1</v>
      </c>
      <c r="Q26" s="12">
        <v>0</v>
      </c>
      <c r="R26" s="10">
        <f t="shared" si="2"/>
        <v>3</v>
      </c>
      <c r="S26" s="3"/>
      <c r="T26" s="3"/>
      <c r="U26" s="3"/>
      <c r="V26" s="3"/>
      <c r="W26" s="3"/>
    </row>
    <row r="27" spans="1:23" ht="35.1" customHeight="1">
      <c r="A27" s="3"/>
      <c r="B27" s="19"/>
      <c r="C27" s="19"/>
      <c r="D27" s="11" t="s">
        <v>148</v>
      </c>
      <c r="E27" s="12" t="s">
        <v>149</v>
      </c>
      <c r="F27" s="12"/>
      <c r="G27" s="12"/>
      <c r="H27" s="12"/>
      <c r="I27" s="12" t="s">
        <v>2</v>
      </c>
      <c r="J27" s="12"/>
      <c r="K27" s="12"/>
      <c r="L27" s="12"/>
      <c r="M27" s="12"/>
      <c r="N27" s="12">
        <v>0</v>
      </c>
      <c r="O27" s="12">
        <v>1</v>
      </c>
      <c r="P27" s="12">
        <v>1</v>
      </c>
      <c r="Q27" s="12">
        <v>0</v>
      </c>
      <c r="R27" s="10">
        <f t="shared" si="2"/>
        <v>2</v>
      </c>
      <c r="S27" s="3"/>
      <c r="T27" s="3"/>
      <c r="U27" s="3"/>
      <c r="V27" s="3"/>
      <c r="W27" s="3"/>
    </row>
    <row r="28" spans="1:23" ht="24.95" customHeight="1">
      <c r="A28" s="3"/>
      <c r="B28" s="61" t="s">
        <v>150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10">
        <f>SUM(N22:N27)</f>
        <v>4</v>
      </c>
      <c r="O28" s="10">
        <f>SUM(O22:O27)</f>
        <v>6</v>
      </c>
      <c r="P28" s="10">
        <f>SUM(P22:P27)</f>
        <v>3</v>
      </c>
      <c r="Q28" s="10">
        <f>SUM(Q22:Q27)</f>
        <v>2</v>
      </c>
      <c r="R28" s="10">
        <f>SUM(R22:R27)</f>
        <v>15</v>
      </c>
      <c r="S28" s="3"/>
      <c r="T28" s="3"/>
      <c r="U28" s="3"/>
      <c r="V28" s="3"/>
      <c r="W28" s="3"/>
    </row>
    <row r="29" spans="1:23" ht="35.1" customHeight="1">
      <c r="A29" s="3"/>
      <c r="B29" s="19" t="s">
        <v>151</v>
      </c>
      <c r="C29" s="19"/>
      <c r="D29" s="11" t="s">
        <v>152</v>
      </c>
      <c r="E29" s="12" t="s">
        <v>153</v>
      </c>
      <c r="F29" s="12"/>
      <c r="G29" s="12" t="s">
        <v>2</v>
      </c>
      <c r="H29" s="12"/>
      <c r="I29" s="12"/>
      <c r="J29" s="12"/>
      <c r="K29" s="12"/>
      <c r="L29" s="12"/>
      <c r="M29" s="12"/>
      <c r="N29" s="12">
        <v>0</v>
      </c>
      <c r="O29" s="12">
        <v>1</v>
      </c>
      <c r="P29" s="12">
        <v>1</v>
      </c>
      <c r="Q29" s="12">
        <v>0</v>
      </c>
      <c r="R29" s="10">
        <f t="shared" ref="R29:R31" si="3">SUM(N29:Q29)</f>
        <v>2</v>
      </c>
      <c r="S29" s="3"/>
      <c r="T29" s="3"/>
      <c r="U29" s="3"/>
      <c r="V29" s="3"/>
      <c r="W29" s="3"/>
    </row>
    <row r="30" spans="1:23" ht="35.1" customHeight="1">
      <c r="A30" s="3"/>
      <c r="B30" s="19"/>
      <c r="C30" s="19"/>
      <c r="D30" s="11" t="s">
        <v>154</v>
      </c>
      <c r="E30" s="12" t="s">
        <v>155</v>
      </c>
      <c r="F30" s="12"/>
      <c r="G30" s="12" t="s">
        <v>2</v>
      </c>
      <c r="H30" s="12"/>
      <c r="I30" s="12"/>
      <c r="J30" s="12"/>
      <c r="K30" s="12"/>
      <c r="L30" s="12"/>
      <c r="M30" s="12"/>
      <c r="N30" s="12">
        <v>1</v>
      </c>
      <c r="O30" s="12">
        <v>1</v>
      </c>
      <c r="P30" s="12">
        <v>1</v>
      </c>
      <c r="Q30" s="12">
        <v>1</v>
      </c>
      <c r="R30" s="10">
        <f t="shared" si="3"/>
        <v>4</v>
      </c>
      <c r="S30" s="3"/>
      <c r="T30" s="3"/>
      <c r="U30" s="3"/>
      <c r="V30" s="3"/>
      <c r="W30" s="3"/>
    </row>
    <row r="31" spans="1:23" ht="35.1" customHeight="1">
      <c r="A31" s="3"/>
      <c r="B31" s="19"/>
      <c r="C31" s="19"/>
      <c r="D31" s="11" t="s">
        <v>156</v>
      </c>
      <c r="E31" s="12" t="s">
        <v>81</v>
      </c>
      <c r="F31" s="12"/>
      <c r="G31" s="12" t="s">
        <v>2</v>
      </c>
      <c r="H31" s="12"/>
      <c r="I31" s="12"/>
      <c r="J31" s="12"/>
      <c r="K31" s="12"/>
      <c r="L31" s="12"/>
      <c r="M31" s="12"/>
      <c r="N31" s="12">
        <v>0</v>
      </c>
      <c r="O31" s="12">
        <v>1</v>
      </c>
      <c r="P31" s="12">
        <v>1</v>
      </c>
      <c r="Q31" s="12">
        <v>0</v>
      </c>
      <c r="R31" s="10">
        <f t="shared" si="3"/>
        <v>2</v>
      </c>
      <c r="S31" s="3"/>
      <c r="T31" s="3"/>
      <c r="U31" s="3"/>
      <c r="V31" s="3"/>
      <c r="W31" s="3"/>
    </row>
    <row r="32" spans="1:23" ht="24.95" customHeight="1">
      <c r="A32" s="3"/>
      <c r="B32" s="61" t="s">
        <v>157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10">
        <f>SUM(N29:N31)</f>
        <v>1</v>
      </c>
      <c r="O32" s="10">
        <f>SUM(O29:O31)</f>
        <v>3</v>
      </c>
      <c r="P32" s="10">
        <f>SUM(P29:P31)</f>
        <v>3</v>
      </c>
      <c r="Q32" s="10">
        <f>SUM(Q29:Q31)</f>
        <v>1</v>
      </c>
      <c r="R32" s="10">
        <f>SUM(R29:R31)</f>
        <v>8</v>
      </c>
      <c r="S32" s="3"/>
      <c r="T32" s="3"/>
      <c r="U32" s="3"/>
      <c r="V32" s="3"/>
      <c r="W32" s="3"/>
    </row>
    <row r="33" spans="1:23" ht="35.1" customHeight="1">
      <c r="A33" s="3"/>
      <c r="B33" s="19" t="s">
        <v>158</v>
      </c>
      <c r="C33" s="19"/>
      <c r="D33" s="11" t="s">
        <v>159</v>
      </c>
      <c r="E33" s="12" t="s">
        <v>160</v>
      </c>
      <c r="F33" s="12"/>
      <c r="G33" s="12"/>
      <c r="H33" s="12"/>
      <c r="I33" s="12"/>
      <c r="J33" s="12" t="s">
        <v>2</v>
      </c>
      <c r="K33" s="12"/>
      <c r="L33" s="12"/>
      <c r="M33" s="12"/>
      <c r="N33" s="12">
        <v>1</v>
      </c>
      <c r="O33" s="12">
        <v>1</v>
      </c>
      <c r="P33" s="12">
        <v>0</v>
      </c>
      <c r="Q33" s="12">
        <v>1</v>
      </c>
      <c r="R33" s="10">
        <f t="shared" ref="R33:R38" si="4">SUM(N33:Q33)</f>
        <v>3</v>
      </c>
      <c r="S33" s="3"/>
      <c r="T33" s="3"/>
      <c r="U33" s="3"/>
      <c r="V33" s="3"/>
      <c r="W33" s="3"/>
    </row>
    <row r="34" spans="1:23" ht="35.1" customHeight="1">
      <c r="A34" s="1"/>
      <c r="B34" s="19"/>
      <c r="C34" s="19"/>
      <c r="D34" s="11" t="s">
        <v>161</v>
      </c>
      <c r="E34" s="13" t="s">
        <v>162</v>
      </c>
      <c r="F34" s="13"/>
      <c r="G34" s="13"/>
      <c r="H34" s="13"/>
      <c r="I34" s="13"/>
      <c r="J34" s="13" t="s">
        <v>2</v>
      </c>
      <c r="K34" s="13"/>
      <c r="L34" s="13"/>
      <c r="M34" s="13"/>
      <c r="N34" s="13">
        <v>0</v>
      </c>
      <c r="O34" s="13">
        <v>1</v>
      </c>
      <c r="P34" s="13">
        <v>1</v>
      </c>
      <c r="Q34" s="13">
        <v>0</v>
      </c>
      <c r="R34" s="10">
        <f t="shared" si="4"/>
        <v>2</v>
      </c>
      <c r="S34" s="1"/>
      <c r="T34" s="1"/>
      <c r="U34" s="1"/>
      <c r="V34" s="1"/>
      <c r="W34" s="1"/>
    </row>
    <row r="35" spans="1:23" ht="35.1" customHeight="1">
      <c r="A35" s="1"/>
      <c r="B35" s="19"/>
      <c r="C35" s="19"/>
      <c r="D35" s="11" t="s">
        <v>163</v>
      </c>
      <c r="E35" s="13" t="s">
        <v>164</v>
      </c>
      <c r="F35" s="13"/>
      <c r="G35" s="13"/>
      <c r="H35" s="13"/>
      <c r="I35" s="13"/>
      <c r="J35" s="13" t="s">
        <v>2</v>
      </c>
      <c r="K35" s="13"/>
      <c r="L35" s="13"/>
      <c r="M35" s="13"/>
      <c r="N35" s="13">
        <v>1</v>
      </c>
      <c r="O35" s="13">
        <v>1</v>
      </c>
      <c r="P35" s="13">
        <v>0</v>
      </c>
      <c r="Q35" s="13">
        <v>0</v>
      </c>
      <c r="R35" s="10">
        <f t="shared" si="4"/>
        <v>2</v>
      </c>
      <c r="S35" s="1"/>
      <c r="T35" s="1"/>
      <c r="U35" s="1"/>
      <c r="V35" s="1"/>
      <c r="W35" s="1"/>
    </row>
    <row r="36" spans="1:23" ht="35.1" customHeight="1">
      <c r="A36" s="1"/>
      <c r="B36" s="19"/>
      <c r="C36" s="19"/>
      <c r="D36" s="11" t="s">
        <v>165</v>
      </c>
      <c r="E36" s="13" t="s">
        <v>166</v>
      </c>
      <c r="F36" s="13"/>
      <c r="G36" s="13"/>
      <c r="H36" s="13"/>
      <c r="I36" s="13"/>
      <c r="J36" s="13"/>
      <c r="K36" s="13" t="s">
        <v>2</v>
      </c>
      <c r="L36" s="13"/>
      <c r="M36" s="13"/>
      <c r="N36" s="13">
        <v>1</v>
      </c>
      <c r="O36" s="13">
        <v>1</v>
      </c>
      <c r="P36" s="13">
        <v>0</v>
      </c>
      <c r="Q36" s="13">
        <v>1</v>
      </c>
      <c r="R36" s="10">
        <f t="shared" si="4"/>
        <v>3</v>
      </c>
      <c r="S36" s="1"/>
      <c r="T36" s="1"/>
      <c r="U36" s="1"/>
      <c r="V36" s="1"/>
      <c r="W36" s="1"/>
    </row>
    <row r="37" spans="1:23" ht="35.1" customHeight="1">
      <c r="A37" s="1"/>
      <c r="B37" s="19"/>
      <c r="C37" s="19"/>
      <c r="D37" s="11" t="s">
        <v>167</v>
      </c>
      <c r="E37" s="13" t="s">
        <v>168</v>
      </c>
      <c r="F37" s="13"/>
      <c r="G37" s="13" t="s">
        <v>2</v>
      </c>
      <c r="H37" s="13"/>
      <c r="I37" s="13"/>
      <c r="J37" s="13"/>
      <c r="K37" s="13" t="s">
        <v>2</v>
      </c>
      <c r="L37" s="13"/>
      <c r="M37" s="13"/>
      <c r="N37" s="13">
        <v>0</v>
      </c>
      <c r="O37" s="13">
        <v>1</v>
      </c>
      <c r="P37" s="13">
        <v>1</v>
      </c>
      <c r="Q37" s="13">
        <v>0</v>
      </c>
      <c r="R37" s="10">
        <f t="shared" si="4"/>
        <v>2</v>
      </c>
      <c r="S37" s="1"/>
      <c r="T37" s="1"/>
      <c r="U37" s="1"/>
      <c r="V37" s="1"/>
      <c r="W37" s="1"/>
    </row>
    <row r="38" spans="1:23" ht="35.1" customHeight="1">
      <c r="A38" s="1"/>
      <c r="B38" s="19"/>
      <c r="C38" s="19"/>
      <c r="D38" s="11" t="s">
        <v>169</v>
      </c>
      <c r="E38" s="13" t="s">
        <v>170</v>
      </c>
      <c r="F38" s="13"/>
      <c r="G38" s="13"/>
      <c r="H38" s="13"/>
      <c r="I38" s="13"/>
      <c r="J38" s="13"/>
      <c r="K38" s="13" t="s">
        <v>2</v>
      </c>
      <c r="L38" s="13"/>
      <c r="M38" s="13"/>
      <c r="N38" s="13">
        <v>0</v>
      </c>
      <c r="O38" s="13">
        <v>1</v>
      </c>
      <c r="P38" s="13">
        <v>1</v>
      </c>
      <c r="Q38" s="13">
        <v>0</v>
      </c>
      <c r="R38" s="10">
        <f t="shared" si="4"/>
        <v>2</v>
      </c>
      <c r="S38" s="1"/>
      <c r="T38" s="1"/>
      <c r="U38" s="1"/>
      <c r="V38" s="1"/>
      <c r="W38" s="1"/>
    </row>
    <row r="39" spans="1:23" ht="24.95" customHeight="1">
      <c r="A39" s="1"/>
      <c r="B39" s="61" t="s">
        <v>171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10">
        <f>SUM(N33:N38)</f>
        <v>3</v>
      </c>
      <c r="O39" s="10">
        <f>SUM(O33:O38)</f>
        <v>6</v>
      </c>
      <c r="P39" s="10">
        <f>SUM(P33:P38)</f>
        <v>3</v>
      </c>
      <c r="Q39" s="10">
        <f>SUM(Q33:Q38)</f>
        <v>2</v>
      </c>
      <c r="R39" s="10">
        <f>SUM(R33:R38)</f>
        <v>14</v>
      </c>
      <c r="S39" s="1"/>
      <c r="T39" s="1"/>
      <c r="U39" s="1"/>
      <c r="V39" s="1"/>
      <c r="W39" s="1"/>
    </row>
    <row r="40" spans="1:23" ht="35.1" customHeight="1">
      <c r="A40" s="1"/>
      <c r="B40" s="19" t="s">
        <v>172</v>
      </c>
      <c r="C40" s="19"/>
      <c r="D40" s="11" t="s">
        <v>173</v>
      </c>
      <c r="E40" s="13" t="s">
        <v>174</v>
      </c>
      <c r="F40" s="13"/>
      <c r="G40" s="13"/>
      <c r="H40" s="13"/>
      <c r="I40" s="13"/>
      <c r="J40" s="13"/>
      <c r="K40" s="13"/>
      <c r="L40" s="13" t="s">
        <v>2</v>
      </c>
      <c r="M40" s="13"/>
      <c r="N40" s="13">
        <v>1</v>
      </c>
      <c r="O40" s="13">
        <v>1</v>
      </c>
      <c r="P40" s="13">
        <v>1</v>
      </c>
      <c r="Q40" s="13">
        <v>1</v>
      </c>
      <c r="R40" s="10">
        <f t="shared" ref="R40:R51" si="5">SUM(N40:Q40)</f>
        <v>4</v>
      </c>
      <c r="S40" s="1"/>
      <c r="T40" s="1"/>
      <c r="U40" s="1"/>
      <c r="V40" s="1"/>
      <c r="W40" s="1"/>
    </row>
    <row r="41" spans="1:23" ht="35.1" customHeight="1">
      <c r="A41" s="1"/>
      <c r="B41" s="19"/>
      <c r="C41" s="19"/>
      <c r="D41" s="11" t="s">
        <v>175</v>
      </c>
      <c r="E41" s="13" t="s">
        <v>176</v>
      </c>
      <c r="F41" s="13"/>
      <c r="G41" s="13"/>
      <c r="H41" s="13"/>
      <c r="I41" s="13"/>
      <c r="J41" s="13"/>
      <c r="K41" s="13"/>
      <c r="L41" s="13" t="s">
        <v>2</v>
      </c>
      <c r="M41" s="13"/>
      <c r="N41" s="13">
        <v>1</v>
      </c>
      <c r="O41" s="13">
        <v>1</v>
      </c>
      <c r="P41" s="13">
        <v>1</v>
      </c>
      <c r="Q41" s="13">
        <v>0</v>
      </c>
      <c r="R41" s="10">
        <f t="shared" si="5"/>
        <v>3</v>
      </c>
      <c r="S41" s="1"/>
      <c r="T41" s="1"/>
      <c r="U41" s="1"/>
      <c r="V41" s="1"/>
      <c r="W41" s="1"/>
    </row>
    <row r="42" spans="1:23" ht="35.1" customHeight="1">
      <c r="A42" s="1"/>
      <c r="B42" s="19"/>
      <c r="C42" s="19"/>
      <c r="D42" s="11" t="s">
        <v>177</v>
      </c>
      <c r="E42" s="13" t="s">
        <v>178</v>
      </c>
      <c r="F42" s="13"/>
      <c r="G42" s="13"/>
      <c r="H42" s="13"/>
      <c r="I42" s="13"/>
      <c r="J42" s="13"/>
      <c r="K42" s="13"/>
      <c r="L42" s="13" t="s">
        <v>2</v>
      </c>
      <c r="M42" s="13"/>
      <c r="N42" s="13">
        <v>1</v>
      </c>
      <c r="O42" s="13">
        <v>1</v>
      </c>
      <c r="P42" s="13">
        <v>1</v>
      </c>
      <c r="Q42" s="13">
        <v>1</v>
      </c>
      <c r="R42" s="10">
        <f t="shared" si="5"/>
        <v>4</v>
      </c>
      <c r="S42" s="1"/>
      <c r="T42" s="1"/>
      <c r="U42" s="1"/>
      <c r="V42" s="1"/>
      <c r="W42" s="1"/>
    </row>
    <row r="43" spans="1:23" ht="35.1" customHeight="1">
      <c r="A43" s="1"/>
      <c r="B43" s="19"/>
      <c r="C43" s="19"/>
      <c r="D43" s="11" t="s">
        <v>179</v>
      </c>
      <c r="E43" s="13" t="s">
        <v>180</v>
      </c>
      <c r="F43" s="13"/>
      <c r="G43" s="13"/>
      <c r="H43" s="13"/>
      <c r="I43" s="13"/>
      <c r="J43" s="13"/>
      <c r="K43" s="13"/>
      <c r="L43" s="13" t="s">
        <v>2</v>
      </c>
      <c r="M43" s="13"/>
      <c r="N43" s="13">
        <v>0</v>
      </c>
      <c r="O43" s="13">
        <v>1</v>
      </c>
      <c r="P43" s="13">
        <v>1</v>
      </c>
      <c r="Q43" s="13">
        <v>0</v>
      </c>
      <c r="R43" s="10">
        <f t="shared" si="5"/>
        <v>2</v>
      </c>
      <c r="S43" s="1"/>
      <c r="T43" s="1"/>
      <c r="U43" s="1"/>
      <c r="V43" s="1"/>
      <c r="W43" s="1"/>
    </row>
    <row r="44" spans="1:23" ht="35.1" customHeight="1">
      <c r="A44" s="1"/>
      <c r="B44" s="19"/>
      <c r="C44" s="19"/>
      <c r="D44" s="11" t="s">
        <v>181</v>
      </c>
      <c r="E44" s="13" t="s">
        <v>182</v>
      </c>
      <c r="F44" s="13"/>
      <c r="G44" s="13"/>
      <c r="H44" s="13"/>
      <c r="I44" s="13"/>
      <c r="J44" s="13"/>
      <c r="K44" s="13"/>
      <c r="L44" s="13" t="s">
        <v>2</v>
      </c>
      <c r="M44" s="13"/>
      <c r="N44" s="13">
        <v>1</v>
      </c>
      <c r="O44" s="13">
        <v>1</v>
      </c>
      <c r="P44" s="13">
        <v>0</v>
      </c>
      <c r="Q44" s="13">
        <v>1</v>
      </c>
      <c r="R44" s="10">
        <f t="shared" si="5"/>
        <v>3</v>
      </c>
      <c r="S44" s="1"/>
      <c r="T44" s="1"/>
      <c r="U44" s="1"/>
      <c r="V44" s="1"/>
      <c r="W44" s="1"/>
    </row>
    <row r="45" spans="1:23" ht="35.1" customHeight="1">
      <c r="A45" s="1"/>
      <c r="B45" s="19"/>
      <c r="C45" s="19"/>
      <c r="D45" s="11" t="s">
        <v>183</v>
      </c>
      <c r="E45" s="13" t="s">
        <v>184</v>
      </c>
      <c r="F45" s="13"/>
      <c r="G45" s="13"/>
      <c r="H45" s="13"/>
      <c r="I45" s="13"/>
      <c r="J45" s="13"/>
      <c r="K45" s="13"/>
      <c r="L45" s="13" t="s">
        <v>2</v>
      </c>
      <c r="M45" s="13"/>
      <c r="N45" s="13">
        <v>1</v>
      </c>
      <c r="O45" s="13">
        <v>1</v>
      </c>
      <c r="P45" s="13">
        <v>0</v>
      </c>
      <c r="Q45" s="13">
        <v>1</v>
      </c>
      <c r="R45" s="10">
        <f t="shared" si="5"/>
        <v>3</v>
      </c>
      <c r="S45" s="1"/>
      <c r="T45" s="1"/>
      <c r="U45" s="1"/>
      <c r="V45" s="1"/>
      <c r="W45" s="1"/>
    </row>
    <row r="46" spans="1:23" ht="35.1" customHeight="1">
      <c r="A46" s="1"/>
      <c r="B46" s="19"/>
      <c r="C46" s="19"/>
      <c r="D46" s="11" t="s">
        <v>185</v>
      </c>
      <c r="E46" s="13" t="s">
        <v>186</v>
      </c>
      <c r="F46" s="13"/>
      <c r="G46" s="13"/>
      <c r="H46" s="13"/>
      <c r="I46" s="13"/>
      <c r="J46" s="13"/>
      <c r="K46" s="13"/>
      <c r="L46" s="13" t="s">
        <v>2</v>
      </c>
      <c r="M46" s="13"/>
      <c r="N46" s="13">
        <v>1</v>
      </c>
      <c r="O46" s="13">
        <v>1</v>
      </c>
      <c r="P46" s="13">
        <v>1</v>
      </c>
      <c r="Q46" s="13">
        <v>0</v>
      </c>
      <c r="R46" s="10">
        <f t="shared" si="5"/>
        <v>3</v>
      </c>
      <c r="S46" s="1"/>
      <c r="T46" s="1"/>
      <c r="U46" s="1"/>
      <c r="V46" s="1"/>
      <c r="W46" s="1"/>
    </row>
    <row r="47" spans="1:23" ht="35.1" customHeight="1">
      <c r="A47" s="1"/>
      <c r="B47" s="19"/>
      <c r="C47" s="19"/>
      <c r="D47" s="11" t="s">
        <v>187</v>
      </c>
      <c r="E47" s="13" t="s">
        <v>188</v>
      </c>
      <c r="F47" s="13"/>
      <c r="G47" s="13"/>
      <c r="H47" s="13"/>
      <c r="I47" s="13"/>
      <c r="J47" s="13"/>
      <c r="K47" s="13"/>
      <c r="L47" s="13" t="s">
        <v>2</v>
      </c>
      <c r="M47" s="13"/>
      <c r="N47" s="13">
        <v>1</v>
      </c>
      <c r="O47" s="13">
        <v>1</v>
      </c>
      <c r="P47" s="13">
        <v>1</v>
      </c>
      <c r="Q47" s="13">
        <v>0</v>
      </c>
      <c r="R47" s="10">
        <f t="shared" si="5"/>
        <v>3</v>
      </c>
      <c r="S47" s="1"/>
      <c r="T47" s="1"/>
      <c r="U47" s="1"/>
      <c r="V47" s="1"/>
      <c r="W47" s="1"/>
    </row>
    <row r="48" spans="1:23" ht="35.1" customHeight="1">
      <c r="A48" s="1"/>
      <c r="B48" s="19"/>
      <c r="C48" s="19"/>
      <c r="D48" s="11" t="s">
        <v>189</v>
      </c>
      <c r="E48" s="13" t="s">
        <v>190</v>
      </c>
      <c r="F48" s="13"/>
      <c r="G48" s="13"/>
      <c r="H48" s="13"/>
      <c r="I48" s="13"/>
      <c r="J48" s="13"/>
      <c r="K48" s="13"/>
      <c r="L48" s="13" t="s">
        <v>2</v>
      </c>
      <c r="M48" s="13"/>
      <c r="N48" s="13">
        <v>1</v>
      </c>
      <c r="O48" s="13">
        <v>1</v>
      </c>
      <c r="P48" s="13">
        <v>1</v>
      </c>
      <c r="Q48" s="13">
        <v>0</v>
      </c>
      <c r="R48" s="10">
        <f t="shared" si="5"/>
        <v>3</v>
      </c>
      <c r="S48" s="1"/>
      <c r="T48" s="1"/>
      <c r="U48" s="1"/>
      <c r="V48" s="1"/>
      <c r="W48" s="1"/>
    </row>
    <row r="49" spans="1:23" ht="35.1" customHeight="1">
      <c r="A49" s="1"/>
      <c r="B49" s="19"/>
      <c r="C49" s="19"/>
      <c r="D49" s="11" t="s">
        <v>191</v>
      </c>
      <c r="E49" s="13" t="s">
        <v>192</v>
      </c>
      <c r="F49" s="13"/>
      <c r="G49" s="13"/>
      <c r="H49" s="13"/>
      <c r="I49" s="13"/>
      <c r="J49" s="13"/>
      <c r="K49" s="13"/>
      <c r="L49" s="13" t="s">
        <v>2</v>
      </c>
      <c r="M49" s="13"/>
      <c r="N49" s="13">
        <v>1</v>
      </c>
      <c r="O49" s="13">
        <v>1</v>
      </c>
      <c r="P49" s="13">
        <v>0</v>
      </c>
      <c r="Q49" s="13">
        <v>1</v>
      </c>
      <c r="R49" s="10">
        <f t="shared" si="5"/>
        <v>3</v>
      </c>
      <c r="S49" s="1"/>
      <c r="T49" s="1"/>
      <c r="U49" s="1"/>
      <c r="V49" s="1"/>
      <c r="W49" s="1"/>
    </row>
    <row r="50" spans="1:23" ht="35.1" customHeight="1">
      <c r="A50" s="1"/>
      <c r="B50" s="19"/>
      <c r="C50" s="19"/>
      <c r="D50" s="11" t="s">
        <v>193</v>
      </c>
      <c r="E50" s="13" t="s">
        <v>194</v>
      </c>
      <c r="F50" s="13"/>
      <c r="G50" s="13"/>
      <c r="H50" s="13"/>
      <c r="I50" s="13"/>
      <c r="J50" s="13"/>
      <c r="K50" s="13"/>
      <c r="L50" s="13" t="s">
        <v>2</v>
      </c>
      <c r="M50" s="13"/>
      <c r="N50" s="13">
        <v>1</v>
      </c>
      <c r="O50" s="13">
        <v>1</v>
      </c>
      <c r="P50" s="13">
        <v>0</v>
      </c>
      <c r="Q50" s="13">
        <v>1</v>
      </c>
      <c r="R50" s="10">
        <f t="shared" si="5"/>
        <v>3</v>
      </c>
      <c r="S50" s="1"/>
      <c r="T50" s="1"/>
      <c r="U50" s="1"/>
      <c r="V50" s="1"/>
      <c r="W50" s="1"/>
    </row>
    <row r="51" spans="1:23" ht="35.1" customHeight="1">
      <c r="A51" s="1"/>
      <c r="B51" s="19"/>
      <c r="C51" s="19"/>
      <c r="D51" s="11" t="s">
        <v>195</v>
      </c>
      <c r="E51" s="13" t="s">
        <v>196</v>
      </c>
      <c r="F51" s="13"/>
      <c r="G51" s="13"/>
      <c r="H51" s="13"/>
      <c r="I51" s="13"/>
      <c r="J51" s="13"/>
      <c r="K51" s="13"/>
      <c r="L51" s="13" t="s">
        <v>2</v>
      </c>
      <c r="M51" s="13"/>
      <c r="N51" s="13">
        <v>1</v>
      </c>
      <c r="O51" s="13">
        <v>1</v>
      </c>
      <c r="P51" s="13">
        <v>0</v>
      </c>
      <c r="Q51" s="13">
        <v>0</v>
      </c>
      <c r="R51" s="10">
        <f t="shared" si="5"/>
        <v>2</v>
      </c>
      <c r="S51" s="1"/>
      <c r="T51" s="1"/>
      <c r="U51" s="1"/>
      <c r="V51" s="1"/>
      <c r="W51" s="1"/>
    </row>
    <row r="52" spans="1:23" ht="24.95" customHeight="1">
      <c r="A52" s="1"/>
      <c r="B52" s="61" t="s">
        <v>197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10">
        <f>SUM(N40:N51)</f>
        <v>11</v>
      </c>
      <c r="O52" s="10">
        <f>SUM(O40:O51)</f>
        <v>12</v>
      </c>
      <c r="P52" s="10">
        <f>SUM(P40:P51)</f>
        <v>7</v>
      </c>
      <c r="Q52" s="10">
        <f>SUM(Q40:Q51)</f>
        <v>6</v>
      </c>
      <c r="R52" s="10">
        <f>SUM(R40:R51)</f>
        <v>36</v>
      </c>
      <c r="S52" s="1"/>
      <c r="T52" s="1"/>
      <c r="U52" s="1"/>
      <c r="V52" s="1"/>
      <c r="W52" s="1"/>
    </row>
    <row r="53" spans="1:23" ht="35.1" customHeight="1">
      <c r="A53" s="1"/>
      <c r="B53" s="19" t="s">
        <v>198</v>
      </c>
      <c r="C53" s="19"/>
      <c r="D53" s="11" t="s">
        <v>199</v>
      </c>
      <c r="E53" s="13" t="s">
        <v>200</v>
      </c>
      <c r="F53" s="13"/>
      <c r="G53" s="13"/>
      <c r="H53" s="13"/>
      <c r="I53" s="13"/>
      <c r="J53" s="13"/>
      <c r="K53" s="13"/>
      <c r="L53" s="13"/>
      <c r="M53" s="13" t="s">
        <v>2</v>
      </c>
      <c r="N53" s="13">
        <v>1</v>
      </c>
      <c r="O53" s="13">
        <v>1</v>
      </c>
      <c r="P53" s="13">
        <v>0</v>
      </c>
      <c r="Q53" s="13">
        <v>1</v>
      </c>
      <c r="R53" s="10">
        <f t="shared" ref="R53:R55" si="6">SUM(N53:Q53)</f>
        <v>3</v>
      </c>
      <c r="S53" s="1"/>
      <c r="T53" s="1"/>
      <c r="U53" s="1"/>
      <c r="V53" s="1"/>
      <c r="W53" s="1"/>
    </row>
    <row r="54" spans="1:23" ht="35.1" customHeight="1">
      <c r="A54" s="1"/>
      <c r="B54" s="19"/>
      <c r="C54" s="19"/>
      <c r="D54" s="11" t="s">
        <v>201</v>
      </c>
      <c r="E54" s="13" t="s">
        <v>202</v>
      </c>
      <c r="F54" s="13"/>
      <c r="G54" s="13"/>
      <c r="H54" s="13"/>
      <c r="I54" s="13"/>
      <c r="J54" s="13"/>
      <c r="K54" s="13"/>
      <c r="L54" s="13"/>
      <c r="M54" s="13" t="s">
        <v>2</v>
      </c>
      <c r="N54" s="13">
        <v>1</v>
      </c>
      <c r="O54" s="13">
        <v>1</v>
      </c>
      <c r="P54" s="13">
        <v>0</v>
      </c>
      <c r="Q54" s="13">
        <v>1</v>
      </c>
      <c r="R54" s="10">
        <f t="shared" si="6"/>
        <v>3</v>
      </c>
      <c r="S54" s="1"/>
      <c r="T54" s="1"/>
      <c r="U54" s="1"/>
      <c r="V54" s="1"/>
      <c r="W54" s="1"/>
    </row>
    <row r="55" spans="1:23" ht="35.1" customHeight="1">
      <c r="A55" s="1"/>
      <c r="B55" s="19"/>
      <c r="C55" s="19"/>
      <c r="D55" s="11" t="s">
        <v>203</v>
      </c>
      <c r="E55" s="13" t="s">
        <v>204</v>
      </c>
      <c r="F55" s="13"/>
      <c r="G55" s="13"/>
      <c r="H55" s="13"/>
      <c r="I55" s="13"/>
      <c r="J55" s="13"/>
      <c r="K55" s="13"/>
      <c r="L55" s="13"/>
      <c r="M55" s="13" t="s">
        <v>2</v>
      </c>
      <c r="N55" s="13">
        <v>1</v>
      </c>
      <c r="O55" s="13">
        <v>1</v>
      </c>
      <c r="P55" s="13">
        <v>1</v>
      </c>
      <c r="Q55" s="13">
        <v>0</v>
      </c>
      <c r="R55" s="10">
        <f t="shared" si="6"/>
        <v>3</v>
      </c>
      <c r="S55" s="1"/>
      <c r="T55" s="1"/>
      <c r="U55" s="1"/>
      <c r="V55" s="1"/>
      <c r="W55" s="1"/>
    </row>
    <row r="56" spans="1:23" ht="24.95" customHeight="1">
      <c r="A56" s="1"/>
      <c r="B56" s="61" t="s">
        <v>205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10">
        <f>SUM(N53:N55)</f>
        <v>3</v>
      </c>
      <c r="O56" s="10">
        <f>SUM(O53:O55)</f>
        <v>3</v>
      </c>
      <c r="P56" s="10">
        <f>SUM(P53:P55)</f>
        <v>1</v>
      </c>
      <c r="Q56" s="10">
        <f>SUM(Q53:Q55)</f>
        <v>2</v>
      </c>
      <c r="R56" s="10">
        <f>SUM(R53:R55)</f>
        <v>9</v>
      </c>
      <c r="S56" s="1"/>
      <c r="T56" s="1"/>
      <c r="U56" s="1"/>
      <c r="V56" s="1"/>
      <c r="W56" s="1"/>
    </row>
    <row r="57" spans="1:23" ht="24.95" customHeight="1">
      <c r="A57" s="1"/>
      <c r="B57" s="63" t="s">
        <v>384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14">
        <f>N14+N21+N28+N32+N39+N52+N56</f>
        <v>34</v>
      </c>
      <c r="O57" s="14">
        <f>O14+O21+O28+O32+O39+O52+O56</f>
        <v>42</v>
      </c>
      <c r="P57" s="14">
        <f>P14+P21+P28+P32+P39+P52+P56</f>
        <v>28</v>
      </c>
      <c r="Q57" s="14">
        <f>Q14+Q21+Q28+Q32+Q39+Q52+Q56</f>
        <v>16</v>
      </c>
      <c r="R57" s="14">
        <f>R14+R21+R28+R32+R39+R52+R56</f>
        <v>120</v>
      </c>
      <c r="S57" s="1"/>
      <c r="T57" s="1"/>
      <c r="U57" s="1"/>
      <c r="V57" s="1"/>
      <c r="W57" s="1"/>
    </row>
    <row r="58" spans="1:23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1"/>
      <c r="U58" s="1"/>
      <c r="V58" s="1"/>
      <c r="W58" s="1"/>
    </row>
    <row r="59" spans="1:23" ht="20.100000000000001" customHeight="1">
      <c r="A59" s="1"/>
      <c r="B59" s="69" t="s">
        <v>85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1"/>
      <c r="T59" s="1"/>
      <c r="U59" s="1"/>
      <c r="V59" s="1"/>
      <c r="W59" s="1"/>
    </row>
    <row r="60" spans="1:23" ht="24.95" customHeight="1">
      <c r="A60" s="1"/>
      <c r="B60" s="69" t="s">
        <v>206</v>
      </c>
      <c r="C60" s="69"/>
      <c r="D60" s="69"/>
      <c r="E60" s="68" t="s">
        <v>207</v>
      </c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1"/>
      <c r="T60" s="1"/>
      <c r="U60" s="1"/>
      <c r="V60" s="1"/>
      <c r="W60" s="1"/>
    </row>
    <row r="61" spans="1:23" ht="24.95" customHeight="1">
      <c r="A61" s="1"/>
      <c r="B61" s="69" t="s">
        <v>208</v>
      </c>
      <c r="C61" s="69"/>
      <c r="D61" s="69"/>
      <c r="E61" s="68" t="s">
        <v>209</v>
      </c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1"/>
      <c r="T61" s="1"/>
      <c r="U61" s="1"/>
      <c r="V61" s="1"/>
      <c r="W61" s="1"/>
    </row>
    <row r="62" spans="1:23" ht="24.95" customHeight="1">
      <c r="A62" s="1"/>
      <c r="B62" s="69" t="s">
        <v>210</v>
      </c>
      <c r="C62" s="69"/>
      <c r="D62" s="69"/>
      <c r="E62" s="68" t="s">
        <v>211</v>
      </c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1"/>
      <c r="T62" s="1"/>
      <c r="U62" s="1"/>
      <c r="V62" s="1"/>
      <c r="W62" s="1"/>
    </row>
    <row r="63" spans="1:23" ht="24.95" customHeight="1">
      <c r="A63" s="1"/>
      <c r="B63" s="69" t="s">
        <v>212</v>
      </c>
      <c r="C63" s="69"/>
      <c r="D63" s="69"/>
      <c r="E63" s="68" t="s">
        <v>213</v>
      </c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1"/>
      <c r="T63" s="1"/>
      <c r="U63" s="1"/>
      <c r="V63" s="1"/>
      <c r="W63" s="1"/>
    </row>
    <row r="64" spans="1:23" ht="24.95" customHeight="1">
      <c r="A64" s="1"/>
      <c r="B64" s="69" t="s">
        <v>214</v>
      </c>
      <c r="C64" s="69"/>
      <c r="D64" s="69"/>
      <c r="E64" s="68" t="s">
        <v>215</v>
      </c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1"/>
      <c r="T64" s="1"/>
      <c r="U64" s="1"/>
      <c r="V64" s="1"/>
      <c r="W64" s="1"/>
    </row>
    <row r="65" spans="1:23" ht="24.95" customHeight="1">
      <c r="A65" s="1"/>
      <c r="B65" s="69" t="s">
        <v>216</v>
      </c>
      <c r="C65" s="69"/>
      <c r="D65" s="69"/>
      <c r="E65" s="68" t="s">
        <v>217</v>
      </c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1"/>
      <c r="T65" s="1"/>
      <c r="U65" s="1"/>
      <c r="V65" s="1"/>
      <c r="W65" s="1"/>
    </row>
    <row r="66" spans="1:23" ht="24.95" customHeight="1">
      <c r="A66" s="1"/>
      <c r="B66" s="69" t="s">
        <v>218</v>
      </c>
      <c r="C66" s="69"/>
      <c r="D66" s="69"/>
      <c r="E66" s="68" t="s">
        <v>219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1"/>
      <c r="T66" s="1"/>
      <c r="U66" s="1"/>
      <c r="V66" s="1"/>
      <c r="W66" s="1"/>
    </row>
    <row r="67" spans="1:23" ht="24.95" customHeight="1">
      <c r="A67" s="1"/>
      <c r="B67" s="69" t="s">
        <v>220</v>
      </c>
      <c r="C67" s="69"/>
      <c r="D67" s="69"/>
      <c r="E67" s="68" t="s">
        <v>221</v>
      </c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1"/>
      <c r="T67" s="1"/>
      <c r="U67" s="1"/>
      <c r="V67" s="1"/>
      <c r="W67" s="1"/>
    </row>
    <row r="68" spans="1:23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  <c r="U68" s="1"/>
      <c r="V68" s="1"/>
      <c r="W68" s="1"/>
    </row>
    <row r="69" spans="1:23" ht="15" customHeight="1">
      <c r="A69" s="1"/>
      <c r="B69" s="27" t="s">
        <v>100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1"/>
      <c r="T69" s="1"/>
      <c r="U69" s="1"/>
      <c r="V69" s="1"/>
      <c r="W69" s="1"/>
    </row>
    <row r="70" spans="1:23">
      <c r="C70" s="2"/>
      <c r="D70" s="2"/>
      <c r="G70" s="2"/>
      <c r="H70" s="2"/>
      <c r="I70" s="2"/>
      <c r="J70" s="2"/>
      <c r="K70" s="2"/>
      <c r="L70" s="2"/>
      <c r="M70" s="2"/>
      <c r="O70" s="2"/>
      <c r="P70" s="2"/>
      <c r="Q70" s="2"/>
      <c r="R70" s="2"/>
    </row>
    <row r="71" spans="1:23">
      <c r="C71" s="2"/>
      <c r="D71" s="2"/>
      <c r="G71" s="2"/>
      <c r="H71" s="2"/>
      <c r="I71" s="2"/>
      <c r="J71" s="2"/>
      <c r="K71" s="2"/>
      <c r="L71" s="2"/>
      <c r="M71" s="2"/>
      <c r="O71" s="2"/>
      <c r="P71" s="2"/>
      <c r="Q71" s="2"/>
      <c r="R71" s="2"/>
    </row>
    <row r="72" spans="1:23">
      <c r="C72" s="2"/>
      <c r="D72" s="2"/>
      <c r="G72" s="2"/>
      <c r="H72" s="2"/>
      <c r="I72" s="2"/>
      <c r="J72" s="2"/>
      <c r="K72" s="2"/>
      <c r="L72" s="2"/>
      <c r="M72" s="2"/>
      <c r="O72" s="2"/>
      <c r="P72" s="2"/>
      <c r="Q72" s="2"/>
      <c r="R72" s="2"/>
    </row>
  </sheetData>
  <mergeCells count="55">
    <mergeCell ref="B69:R69"/>
    <mergeCell ref="B65:D65"/>
    <mergeCell ref="E65:R65"/>
    <mergeCell ref="B66:D66"/>
    <mergeCell ref="E66:R66"/>
    <mergeCell ref="B67:D67"/>
    <mergeCell ref="E67:R67"/>
    <mergeCell ref="B62:D62"/>
    <mergeCell ref="E62:R62"/>
    <mergeCell ref="B63:D63"/>
    <mergeCell ref="E63:R63"/>
    <mergeCell ref="B64:D64"/>
    <mergeCell ref="E64:R64"/>
    <mergeCell ref="B57:M57"/>
    <mergeCell ref="B59:R59"/>
    <mergeCell ref="B60:D60"/>
    <mergeCell ref="E60:R60"/>
    <mergeCell ref="B61:D61"/>
    <mergeCell ref="E61:R61"/>
    <mergeCell ref="B39:M39"/>
    <mergeCell ref="B40:C51"/>
    <mergeCell ref="B52:M52"/>
    <mergeCell ref="B53:C55"/>
    <mergeCell ref="B56:M56"/>
    <mergeCell ref="B22:C27"/>
    <mergeCell ref="B28:M28"/>
    <mergeCell ref="B29:C31"/>
    <mergeCell ref="B32:M32"/>
    <mergeCell ref="B33:C38"/>
    <mergeCell ref="B8:C13"/>
    <mergeCell ref="B14:M14"/>
    <mergeCell ref="B15:C20"/>
    <mergeCell ref="B21:M21"/>
    <mergeCell ref="M6:M7"/>
    <mergeCell ref="H6:H7"/>
    <mergeCell ref="I6:I7"/>
    <mergeCell ref="J6:J7"/>
    <mergeCell ref="K6:K7"/>
    <mergeCell ref="L6:L7"/>
    <mergeCell ref="B6:C7"/>
    <mergeCell ref="D6:D7"/>
    <mergeCell ref="E6:E7"/>
    <mergeCell ref="F6:F7"/>
    <mergeCell ref="G6:G7"/>
    <mergeCell ref="B2:R3"/>
    <mergeCell ref="B4:C5"/>
    <mergeCell ref="D4:D5"/>
    <mergeCell ref="E4:E5"/>
    <mergeCell ref="F4:M5"/>
    <mergeCell ref="N4:R5"/>
    <mergeCell ref="R6:R7"/>
    <mergeCell ref="N6:N7"/>
    <mergeCell ref="O6:O7"/>
    <mergeCell ref="P6:P7"/>
    <mergeCell ref="Q6:Q7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workbookViewId="0">
      <selection activeCell="B32" sqref="B32:N32"/>
    </sheetView>
  </sheetViews>
  <sheetFormatPr baseColWidth="10" defaultColWidth="6" defaultRowHeight="15"/>
  <cols>
    <col min="1" max="1" width="3" style="2" customWidth="1"/>
    <col min="2" max="2" width="5" style="2" customWidth="1"/>
    <col min="3" max="3" width="18" customWidth="1"/>
    <col min="4" max="4" width="12" style="2" customWidth="1"/>
    <col min="5" max="5" width="34" style="2" customWidth="1"/>
    <col min="6" max="9" width="13.7109375" customWidth="1"/>
    <col min="13" max="13" width="6" style="2"/>
    <col min="15" max="16384" width="6" style="2"/>
  </cols>
  <sheetData>
    <row r="1" spans="1:16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1.75" customHeight="1">
      <c r="A2" s="9"/>
      <c r="B2" s="64" t="s">
        <v>386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3"/>
      <c r="P2" s="3"/>
    </row>
    <row r="3" spans="1:16" ht="15" customHeight="1">
      <c r="A3" s="9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3"/>
      <c r="P3" s="3"/>
    </row>
    <row r="4" spans="1:16" ht="15" customHeight="1">
      <c r="A4" s="9"/>
      <c r="B4" s="19" t="s">
        <v>17</v>
      </c>
      <c r="C4" s="19"/>
      <c r="D4" s="19" t="s">
        <v>18</v>
      </c>
      <c r="E4" s="19" t="s">
        <v>19</v>
      </c>
      <c r="F4" s="19" t="s">
        <v>20</v>
      </c>
      <c r="G4" s="19"/>
      <c r="H4" s="19"/>
      <c r="I4" s="19"/>
      <c r="J4" s="19" t="s">
        <v>21</v>
      </c>
      <c r="K4" s="19"/>
      <c r="L4" s="19"/>
      <c r="M4" s="19"/>
      <c r="N4" s="19"/>
      <c r="O4" s="3"/>
      <c r="P4" s="3"/>
    </row>
    <row r="5" spans="1:16" ht="15" customHeight="1">
      <c r="A5" s="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3"/>
      <c r="P5" s="3"/>
    </row>
    <row r="6" spans="1:16" ht="30" customHeight="1">
      <c r="A6" s="9"/>
      <c r="B6" s="21"/>
      <c r="C6" s="22"/>
      <c r="D6" s="25"/>
      <c r="E6" s="25"/>
      <c r="F6" s="19" t="s">
        <v>222</v>
      </c>
      <c r="G6" s="19" t="s">
        <v>223</v>
      </c>
      <c r="H6" s="19" t="s">
        <v>224</v>
      </c>
      <c r="I6" s="19" t="s">
        <v>225</v>
      </c>
      <c r="J6" s="19" t="s">
        <v>1</v>
      </c>
      <c r="K6" s="19" t="s">
        <v>2</v>
      </c>
      <c r="L6" s="19" t="s">
        <v>3</v>
      </c>
      <c r="M6" s="19" t="s">
        <v>4</v>
      </c>
      <c r="N6" s="19" t="s">
        <v>5</v>
      </c>
      <c r="O6" s="3"/>
      <c r="P6" s="3"/>
    </row>
    <row r="7" spans="1:16" ht="15" customHeight="1">
      <c r="A7" s="9"/>
      <c r="B7" s="23"/>
      <c r="C7" s="24"/>
      <c r="D7" s="26"/>
      <c r="E7" s="26"/>
      <c r="F7" s="19"/>
      <c r="G7" s="19"/>
      <c r="H7" s="19"/>
      <c r="I7" s="19"/>
      <c r="J7" s="19"/>
      <c r="K7" s="19"/>
      <c r="L7" s="19"/>
      <c r="M7" s="19"/>
      <c r="N7" s="19"/>
      <c r="O7" s="3"/>
      <c r="P7" s="3"/>
    </row>
    <row r="8" spans="1:16" ht="35.1" customHeight="1">
      <c r="A8" s="9"/>
      <c r="B8" s="19" t="s">
        <v>226</v>
      </c>
      <c r="C8" s="19"/>
      <c r="D8" s="11" t="s">
        <v>227</v>
      </c>
      <c r="E8" s="12" t="s">
        <v>228</v>
      </c>
      <c r="F8" s="12" t="s">
        <v>2</v>
      </c>
      <c r="G8" s="12"/>
      <c r="H8" s="12"/>
      <c r="I8" s="12"/>
      <c r="J8" s="12">
        <v>1</v>
      </c>
      <c r="K8" s="12">
        <v>1</v>
      </c>
      <c r="L8" s="12">
        <v>1</v>
      </c>
      <c r="M8" s="12">
        <v>1</v>
      </c>
      <c r="N8" s="10">
        <f>SUM(J8:M8)</f>
        <v>4</v>
      </c>
      <c r="O8" s="3"/>
      <c r="P8" s="3"/>
    </row>
    <row r="9" spans="1:16" ht="35.1" customHeight="1">
      <c r="A9" s="9"/>
      <c r="B9" s="19"/>
      <c r="C9" s="19"/>
      <c r="D9" s="11" t="s">
        <v>229</v>
      </c>
      <c r="E9" s="12" t="s">
        <v>230</v>
      </c>
      <c r="F9" s="12" t="s">
        <v>2</v>
      </c>
      <c r="G9" s="12"/>
      <c r="H9" s="12"/>
      <c r="I9" s="12"/>
      <c r="J9" s="12">
        <v>1</v>
      </c>
      <c r="K9" s="12">
        <v>1</v>
      </c>
      <c r="L9" s="12">
        <v>1</v>
      </c>
      <c r="M9" s="12">
        <v>1</v>
      </c>
      <c r="N9" s="10">
        <f>SUM(J9:M9)</f>
        <v>4</v>
      </c>
      <c r="O9" s="3"/>
      <c r="P9" s="3"/>
    </row>
    <row r="10" spans="1:16" ht="35.1" customHeight="1">
      <c r="A10" s="9"/>
      <c r="B10" s="19"/>
      <c r="C10" s="19"/>
      <c r="D10" s="11" t="s">
        <v>231</v>
      </c>
      <c r="E10" s="12" t="s">
        <v>232</v>
      </c>
      <c r="F10" s="12" t="s">
        <v>2</v>
      </c>
      <c r="G10" s="12"/>
      <c r="H10" s="12"/>
      <c r="I10" s="12"/>
      <c r="J10" s="12">
        <v>1</v>
      </c>
      <c r="K10" s="12">
        <v>1</v>
      </c>
      <c r="L10" s="12">
        <v>0</v>
      </c>
      <c r="M10" s="12">
        <v>0</v>
      </c>
      <c r="N10" s="10">
        <f>SUM(J10:M10)</f>
        <v>2</v>
      </c>
      <c r="O10" s="3"/>
      <c r="P10" s="3"/>
    </row>
    <row r="11" spans="1:16" ht="24.95" customHeight="1">
      <c r="A11" s="9"/>
      <c r="B11" s="61" t="s">
        <v>233</v>
      </c>
      <c r="C11" s="61"/>
      <c r="D11" s="61"/>
      <c r="E11" s="61"/>
      <c r="F11" s="61"/>
      <c r="G11" s="61"/>
      <c r="H11" s="61"/>
      <c r="I11" s="61"/>
      <c r="J11" s="10">
        <f>SUM(J8:J10)</f>
        <v>3</v>
      </c>
      <c r="K11" s="10">
        <f>SUM(K8:K10)</f>
        <v>3</v>
      </c>
      <c r="L11" s="10">
        <f>SUM(L8:L10)</f>
        <v>2</v>
      </c>
      <c r="M11" s="10">
        <f>SUM(M8:M10)</f>
        <v>2</v>
      </c>
      <c r="N11" s="10">
        <f>SUM(N8:N10)</f>
        <v>10</v>
      </c>
      <c r="O11" s="3"/>
      <c r="P11" s="3"/>
    </row>
    <row r="12" spans="1:16" ht="35.1" customHeight="1">
      <c r="A12" s="9"/>
      <c r="B12" s="19" t="s">
        <v>234</v>
      </c>
      <c r="C12" s="19"/>
      <c r="D12" s="11" t="s">
        <v>235</v>
      </c>
      <c r="E12" s="12" t="s">
        <v>236</v>
      </c>
      <c r="F12" s="12"/>
      <c r="G12" s="12" t="s">
        <v>2</v>
      </c>
      <c r="H12" s="12"/>
      <c r="I12" s="12"/>
      <c r="J12" s="12">
        <v>0</v>
      </c>
      <c r="K12" s="12">
        <v>1</v>
      </c>
      <c r="L12" s="12">
        <v>1</v>
      </c>
      <c r="M12" s="12">
        <v>0</v>
      </c>
      <c r="N12" s="10">
        <f>SUM(J12:M12)</f>
        <v>2</v>
      </c>
      <c r="O12" s="3"/>
      <c r="P12" s="3"/>
    </row>
    <row r="13" spans="1:16" ht="35.1" customHeight="1">
      <c r="A13" s="9"/>
      <c r="B13" s="19"/>
      <c r="C13" s="19"/>
      <c r="D13" s="11" t="s">
        <v>237</v>
      </c>
      <c r="E13" s="12" t="s">
        <v>238</v>
      </c>
      <c r="F13" s="12"/>
      <c r="G13" s="12" t="s">
        <v>2</v>
      </c>
      <c r="H13" s="12"/>
      <c r="I13" s="12"/>
      <c r="J13" s="12">
        <v>1</v>
      </c>
      <c r="K13" s="12">
        <v>1</v>
      </c>
      <c r="L13" s="12">
        <v>1</v>
      </c>
      <c r="M13" s="12">
        <v>0</v>
      </c>
      <c r="N13" s="10">
        <f>SUM(J13:M13)</f>
        <v>3</v>
      </c>
      <c r="O13" s="3"/>
      <c r="P13" s="3"/>
    </row>
    <row r="14" spans="1:16" ht="35.1" customHeight="1">
      <c r="A14" s="9"/>
      <c r="B14" s="19"/>
      <c r="C14" s="19"/>
      <c r="D14" s="11" t="s">
        <v>239</v>
      </c>
      <c r="E14" s="12" t="s">
        <v>240</v>
      </c>
      <c r="F14" s="12"/>
      <c r="G14" s="12" t="s">
        <v>2</v>
      </c>
      <c r="H14" s="12"/>
      <c r="I14" s="12" t="s">
        <v>2</v>
      </c>
      <c r="J14" s="12">
        <v>0</v>
      </c>
      <c r="K14" s="12">
        <v>1</v>
      </c>
      <c r="L14" s="12">
        <v>1</v>
      </c>
      <c r="M14" s="12">
        <v>0</v>
      </c>
      <c r="N14" s="10">
        <f>SUM(J14:M14)</f>
        <v>2</v>
      </c>
      <c r="O14" s="3"/>
      <c r="P14" s="3"/>
    </row>
    <row r="15" spans="1:16" ht="24.95" customHeight="1">
      <c r="A15" s="9"/>
      <c r="B15" s="61" t="s">
        <v>241</v>
      </c>
      <c r="C15" s="61"/>
      <c r="D15" s="61"/>
      <c r="E15" s="61"/>
      <c r="F15" s="61"/>
      <c r="G15" s="61"/>
      <c r="H15" s="61"/>
      <c r="I15" s="61"/>
      <c r="J15" s="10">
        <f>SUM(J12:J14)</f>
        <v>1</v>
      </c>
      <c r="K15" s="10">
        <f>SUM(K12:K14)</f>
        <v>3</v>
      </c>
      <c r="L15" s="10">
        <f>SUM(L12:L14)</f>
        <v>3</v>
      </c>
      <c r="M15" s="10">
        <f>SUM(M12:M14)</f>
        <v>0</v>
      </c>
      <c r="N15" s="10">
        <f>SUM(N12:N14)</f>
        <v>7</v>
      </c>
      <c r="O15" s="3"/>
      <c r="P15" s="3"/>
    </row>
    <row r="16" spans="1:16" ht="35.1" customHeight="1">
      <c r="A16" s="9"/>
      <c r="B16" s="19" t="s">
        <v>242</v>
      </c>
      <c r="C16" s="19"/>
      <c r="D16" s="11" t="s">
        <v>243</v>
      </c>
      <c r="E16" s="12" t="s">
        <v>244</v>
      </c>
      <c r="F16" s="12"/>
      <c r="G16" s="12"/>
      <c r="H16" s="12" t="s">
        <v>2</v>
      </c>
      <c r="I16" s="12"/>
      <c r="J16" s="12">
        <v>1</v>
      </c>
      <c r="K16" s="12">
        <v>1</v>
      </c>
      <c r="L16" s="12">
        <v>1</v>
      </c>
      <c r="M16" s="12">
        <v>1</v>
      </c>
      <c r="N16" s="10">
        <f>SUM(J16:M16)</f>
        <v>4</v>
      </c>
      <c r="O16" s="3"/>
      <c r="P16" s="3"/>
    </row>
    <row r="17" spans="1:16" ht="35.1" customHeight="1">
      <c r="A17" s="9"/>
      <c r="B17" s="19"/>
      <c r="C17" s="19"/>
      <c r="D17" s="11" t="s">
        <v>245</v>
      </c>
      <c r="E17" s="12" t="s">
        <v>246</v>
      </c>
      <c r="F17" s="12"/>
      <c r="G17" s="12"/>
      <c r="H17" s="12" t="s">
        <v>2</v>
      </c>
      <c r="I17" s="12"/>
      <c r="J17" s="12">
        <v>1</v>
      </c>
      <c r="K17" s="12">
        <v>1</v>
      </c>
      <c r="L17" s="12">
        <v>1</v>
      </c>
      <c r="M17" s="12">
        <v>0</v>
      </c>
      <c r="N17" s="10">
        <f>SUM(J17:M17)</f>
        <v>3</v>
      </c>
      <c r="O17" s="3"/>
      <c r="P17" s="3"/>
    </row>
    <row r="18" spans="1:16" ht="35.1" customHeight="1">
      <c r="A18" s="9"/>
      <c r="B18" s="19"/>
      <c r="C18" s="19"/>
      <c r="D18" s="11" t="s">
        <v>247</v>
      </c>
      <c r="E18" s="12" t="s">
        <v>248</v>
      </c>
      <c r="F18" s="12"/>
      <c r="G18" s="12"/>
      <c r="H18" s="12" t="s">
        <v>2</v>
      </c>
      <c r="I18" s="12"/>
      <c r="J18" s="12">
        <v>1</v>
      </c>
      <c r="K18" s="12">
        <v>1</v>
      </c>
      <c r="L18" s="12">
        <v>1</v>
      </c>
      <c r="M18" s="12">
        <v>1</v>
      </c>
      <c r="N18" s="10">
        <f>SUM(J18:M18)</f>
        <v>4</v>
      </c>
      <c r="O18" s="3"/>
      <c r="P18" s="3"/>
    </row>
    <row r="19" spans="1:16" ht="24.95" customHeight="1">
      <c r="A19" s="9"/>
      <c r="B19" s="61" t="s">
        <v>249</v>
      </c>
      <c r="C19" s="61"/>
      <c r="D19" s="61"/>
      <c r="E19" s="61"/>
      <c r="F19" s="61"/>
      <c r="G19" s="61"/>
      <c r="H19" s="61"/>
      <c r="I19" s="61"/>
      <c r="J19" s="10">
        <f>SUM(J16:J18)</f>
        <v>3</v>
      </c>
      <c r="K19" s="10">
        <f>SUM(K16:K18)</f>
        <v>3</v>
      </c>
      <c r="L19" s="10">
        <f>SUM(L16:L18)</f>
        <v>3</v>
      </c>
      <c r="M19" s="10">
        <f>SUM(M16:M18)</f>
        <v>2</v>
      </c>
      <c r="N19" s="10">
        <f>SUM(N16:N18)</f>
        <v>11</v>
      </c>
      <c r="O19" s="3"/>
      <c r="P19" s="3"/>
    </row>
    <row r="20" spans="1:16" ht="35.1" customHeight="1">
      <c r="A20" s="9"/>
      <c r="B20" s="19" t="s">
        <v>250</v>
      </c>
      <c r="C20" s="19"/>
      <c r="D20" s="11" t="s">
        <v>251</v>
      </c>
      <c r="E20" s="12" t="s">
        <v>252</v>
      </c>
      <c r="F20" s="12"/>
      <c r="G20" s="12"/>
      <c r="H20" s="12"/>
      <c r="I20" s="12" t="s">
        <v>2</v>
      </c>
      <c r="J20" s="12">
        <v>1</v>
      </c>
      <c r="K20" s="12">
        <v>1</v>
      </c>
      <c r="L20" s="12">
        <v>1</v>
      </c>
      <c r="M20" s="12">
        <v>1</v>
      </c>
      <c r="N20" s="10">
        <f>SUM(J20:M20)</f>
        <v>4</v>
      </c>
      <c r="O20" s="3"/>
      <c r="P20" s="3"/>
    </row>
    <row r="21" spans="1:16" ht="35.1" customHeight="1">
      <c r="A21" s="9"/>
      <c r="B21" s="19"/>
      <c r="C21" s="19"/>
      <c r="D21" s="11" t="s">
        <v>253</v>
      </c>
      <c r="E21" s="12" t="s">
        <v>254</v>
      </c>
      <c r="F21" s="12"/>
      <c r="G21" s="12"/>
      <c r="H21" s="12"/>
      <c r="I21" s="12" t="s">
        <v>2</v>
      </c>
      <c r="J21" s="12">
        <v>1</v>
      </c>
      <c r="K21" s="12">
        <v>1</v>
      </c>
      <c r="L21" s="12">
        <v>0</v>
      </c>
      <c r="M21" s="12">
        <v>1</v>
      </c>
      <c r="N21" s="10">
        <f>SUM(J21:M21)</f>
        <v>3</v>
      </c>
      <c r="O21" s="3"/>
      <c r="P21" s="3"/>
    </row>
    <row r="22" spans="1:16" ht="35.1" customHeight="1">
      <c r="A22" s="9"/>
      <c r="B22" s="19"/>
      <c r="C22" s="19"/>
      <c r="D22" s="11" t="s">
        <v>255</v>
      </c>
      <c r="E22" s="12" t="s">
        <v>256</v>
      </c>
      <c r="F22" s="12"/>
      <c r="G22" s="12"/>
      <c r="H22" s="12"/>
      <c r="I22" s="12" t="s">
        <v>2</v>
      </c>
      <c r="J22" s="12">
        <v>1</v>
      </c>
      <c r="K22" s="12">
        <v>1</v>
      </c>
      <c r="L22" s="12">
        <v>0</v>
      </c>
      <c r="M22" s="12">
        <v>0</v>
      </c>
      <c r="N22" s="10">
        <f>SUM(J22:M22)</f>
        <v>2</v>
      </c>
      <c r="O22" s="3"/>
      <c r="P22" s="3"/>
    </row>
    <row r="23" spans="1:16" ht="24.95" customHeight="1">
      <c r="A23" s="9"/>
      <c r="B23" s="61" t="s">
        <v>257</v>
      </c>
      <c r="C23" s="61"/>
      <c r="D23" s="61"/>
      <c r="E23" s="61"/>
      <c r="F23" s="61"/>
      <c r="G23" s="61"/>
      <c r="H23" s="61"/>
      <c r="I23" s="61"/>
      <c r="J23" s="10">
        <f>SUM(J20:J22)</f>
        <v>3</v>
      </c>
      <c r="K23" s="10">
        <f>SUM(K20:K22)</f>
        <v>3</v>
      </c>
      <c r="L23" s="10">
        <f>SUM(L20:L22)</f>
        <v>1</v>
      </c>
      <c r="M23" s="10">
        <f>SUM(M20:M22)</f>
        <v>2</v>
      </c>
      <c r="N23" s="10">
        <f>SUM(N20:N22)</f>
        <v>9</v>
      </c>
      <c r="O23" s="3"/>
      <c r="P23" s="3"/>
    </row>
    <row r="24" spans="1:16" ht="24.95" customHeight="1">
      <c r="A24" s="9"/>
      <c r="B24" s="63" t="s">
        <v>387</v>
      </c>
      <c r="C24" s="62"/>
      <c r="D24" s="62"/>
      <c r="E24" s="62"/>
      <c r="F24" s="62"/>
      <c r="G24" s="62"/>
      <c r="H24" s="62"/>
      <c r="I24" s="62"/>
      <c r="J24" s="14">
        <f>J11+J15+J19+J23</f>
        <v>10</v>
      </c>
      <c r="K24" s="14">
        <f>K11+K15+K19+K23</f>
        <v>12</v>
      </c>
      <c r="L24" s="14">
        <f>L11+L15+L19+L23</f>
        <v>9</v>
      </c>
      <c r="M24" s="14">
        <f>M11+M15+M19+M23</f>
        <v>6</v>
      </c>
      <c r="N24" s="14">
        <f>N11+N15+N19+N23</f>
        <v>37</v>
      </c>
      <c r="O24" s="3"/>
      <c r="P24" s="3"/>
    </row>
    <row r="25" spans="1:16" ht="23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3"/>
      <c r="P25" s="3"/>
    </row>
    <row r="26" spans="1:16" ht="24.95" customHeight="1">
      <c r="A26" s="9"/>
      <c r="B26" s="69" t="s">
        <v>85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3"/>
      <c r="P26" s="3"/>
    </row>
    <row r="27" spans="1:16" ht="30" customHeight="1">
      <c r="A27" s="9"/>
      <c r="B27" s="69" t="s">
        <v>258</v>
      </c>
      <c r="C27" s="69"/>
      <c r="D27" s="69"/>
      <c r="E27" s="68" t="s">
        <v>259</v>
      </c>
      <c r="F27" s="68"/>
      <c r="G27" s="68"/>
      <c r="H27" s="68"/>
      <c r="I27" s="68"/>
      <c r="J27" s="68"/>
      <c r="K27" s="68"/>
      <c r="L27" s="68"/>
      <c r="M27" s="68"/>
      <c r="N27" s="68"/>
      <c r="O27" s="3"/>
      <c r="P27" s="3"/>
    </row>
    <row r="28" spans="1:16" ht="30" customHeight="1">
      <c r="A28" s="4"/>
      <c r="B28" s="69" t="s">
        <v>260</v>
      </c>
      <c r="C28" s="69"/>
      <c r="D28" s="69"/>
      <c r="E28" s="68" t="s">
        <v>261</v>
      </c>
      <c r="F28" s="68"/>
      <c r="G28" s="68"/>
      <c r="H28" s="68"/>
      <c r="I28" s="68"/>
      <c r="J28" s="68"/>
      <c r="K28" s="68"/>
      <c r="L28" s="68"/>
      <c r="M28" s="68"/>
      <c r="N28" s="68"/>
      <c r="O28" s="1"/>
      <c r="P28" s="1"/>
    </row>
    <row r="29" spans="1:16" ht="30" customHeight="1">
      <c r="A29" s="4"/>
      <c r="B29" s="69" t="s">
        <v>262</v>
      </c>
      <c r="C29" s="69"/>
      <c r="D29" s="69"/>
      <c r="E29" s="68" t="s">
        <v>263</v>
      </c>
      <c r="F29" s="68"/>
      <c r="G29" s="68"/>
      <c r="H29" s="68"/>
      <c r="I29" s="68"/>
      <c r="J29" s="68"/>
      <c r="K29" s="68"/>
      <c r="L29" s="68"/>
      <c r="M29" s="68"/>
      <c r="N29" s="68"/>
      <c r="O29" s="1"/>
      <c r="P29" s="1"/>
    </row>
    <row r="30" spans="1:16" ht="30" customHeight="1">
      <c r="A30" s="4"/>
      <c r="B30" s="69" t="s">
        <v>264</v>
      </c>
      <c r="C30" s="69"/>
      <c r="D30" s="69"/>
      <c r="E30" s="68" t="s">
        <v>265</v>
      </c>
      <c r="F30" s="68"/>
      <c r="G30" s="68"/>
      <c r="H30" s="68"/>
      <c r="I30" s="68"/>
      <c r="J30" s="68"/>
      <c r="K30" s="68"/>
      <c r="L30" s="68"/>
      <c r="M30" s="68"/>
      <c r="N30" s="68"/>
      <c r="O30" s="1"/>
      <c r="P30" s="1"/>
    </row>
    <row r="3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  <c r="P31" s="1"/>
    </row>
    <row r="32" spans="1:16" ht="27.4" customHeight="1">
      <c r="A32" s="4"/>
      <c r="B32" s="27" t="s">
        <v>100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1"/>
      <c r="P32" s="1"/>
    </row>
  </sheetData>
  <mergeCells count="37">
    <mergeCell ref="B29:D29"/>
    <mergeCell ref="E29:N29"/>
    <mergeCell ref="B30:D30"/>
    <mergeCell ref="E30:N30"/>
    <mergeCell ref="B32:N32"/>
    <mergeCell ref="B24:I24"/>
    <mergeCell ref="B26:N26"/>
    <mergeCell ref="B27:D27"/>
    <mergeCell ref="E27:N27"/>
    <mergeCell ref="B28:D28"/>
    <mergeCell ref="E28:N28"/>
    <mergeCell ref="B15:I15"/>
    <mergeCell ref="B16:C18"/>
    <mergeCell ref="B19:I19"/>
    <mergeCell ref="B20:C22"/>
    <mergeCell ref="B23:I23"/>
    <mergeCell ref="M6:M7"/>
    <mergeCell ref="N6:N7"/>
    <mergeCell ref="B8:C10"/>
    <mergeCell ref="B11:I11"/>
    <mergeCell ref="B12:C14"/>
    <mergeCell ref="H6:H7"/>
    <mergeCell ref="I6:I7"/>
    <mergeCell ref="J6:J7"/>
    <mergeCell ref="K6:K7"/>
    <mergeCell ref="L6:L7"/>
    <mergeCell ref="B6:C7"/>
    <mergeCell ref="D6:D7"/>
    <mergeCell ref="E6:E7"/>
    <mergeCell ref="F6:F7"/>
    <mergeCell ref="G6:G7"/>
    <mergeCell ref="B2:N3"/>
    <mergeCell ref="B4:C5"/>
    <mergeCell ref="D4:D5"/>
    <mergeCell ref="E4:E5"/>
    <mergeCell ref="F4:I5"/>
    <mergeCell ref="J4:N5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"/>
  <sheetViews>
    <sheetView topLeftCell="A25" workbookViewId="0">
      <selection activeCell="P34" sqref="P34"/>
    </sheetView>
  </sheetViews>
  <sheetFormatPr baseColWidth="10" defaultColWidth="6" defaultRowHeight="15"/>
  <cols>
    <col min="1" max="1" width="3" style="2" customWidth="1"/>
    <col min="2" max="2" width="5" style="2" customWidth="1"/>
    <col min="3" max="3" width="18" customWidth="1"/>
    <col min="4" max="4" width="12" style="2" customWidth="1"/>
    <col min="5" max="5" width="34" style="2" customWidth="1"/>
    <col min="6" max="9" width="13.7109375" customWidth="1"/>
    <col min="13" max="13" width="6" style="2"/>
    <col min="15" max="16384" width="6" style="2"/>
  </cols>
  <sheetData>
    <row r="1" spans="1:17" ht="15" customHeight="1">
      <c r="A1" s="3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</row>
    <row r="2" spans="1:17" ht="21.75" customHeight="1">
      <c r="A2" s="15"/>
      <c r="B2" s="64" t="s">
        <v>388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70"/>
      <c r="P2" s="70"/>
      <c r="Q2" s="71"/>
    </row>
    <row r="3" spans="1:17" ht="15" customHeight="1">
      <c r="A3" s="1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70"/>
      <c r="P3" s="70"/>
      <c r="Q3" s="71"/>
    </row>
    <row r="4" spans="1:17" ht="15" customHeight="1">
      <c r="A4" s="15"/>
      <c r="B4" s="72" t="s">
        <v>17</v>
      </c>
      <c r="C4" s="72"/>
      <c r="D4" s="72" t="s">
        <v>18</v>
      </c>
      <c r="E4" s="72" t="s">
        <v>19</v>
      </c>
      <c r="F4" s="72" t="s">
        <v>20</v>
      </c>
      <c r="G4" s="72"/>
      <c r="H4" s="72"/>
      <c r="I4" s="72"/>
      <c r="J4" s="72" t="s">
        <v>21</v>
      </c>
      <c r="K4" s="72"/>
      <c r="L4" s="72"/>
      <c r="M4" s="72"/>
      <c r="N4" s="72"/>
      <c r="O4" s="70"/>
      <c r="P4" s="70"/>
      <c r="Q4" s="71"/>
    </row>
    <row r="5" spans="1:17" ht="15" customHeight="1">
      <c r="A5" s="15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0"/>
      <c r="P5" s="70"/>
      <c r="Q5" s="71"/>
    </row>
    <row r="6" spans="1:17" ht="30" customHeight="1">
      <c r="A6" s="15"/>
      <c r="B6" s="73"/>
      <c r="C6" s="74"/>
      <c r="D6" s="75"/>
      <c r="E6" s="75"/>
      <c r="F6" s="72" t="s">
        <v>266</v>
      </c>
      <c r="G6" s="72" t="s">
        <v>267</v>
      </c>
      <c r="H6" s="72" t="s">
        <v>268</v>
      </c>
      <c r="I6" s="72" t="s">
        <v>269</v>
      </c>
      <c r="J6" s="72" t="s">
        <v>1</v>
      </c>
      <c r="K6" s="72" t="s">
        <v>2</v>
      </c>
      <c r="L6" s="72" t="s">
        <v>3</v>
      </c>
      <c r="M6" s="72" t="s">
        <v>4</v>
      </c>
      <c r="N6" s="72" t="s">
        <v>5</v>
      </c>
      <c r="O6" s="70"/>
      <c r="P6" s="70"/>
      <c r="Q6" s="71"/>
    </row>
    <row r="7" spans="1:17" ht="15" customHeight="1">
      <c r="A7" s="15"/>
      <c r="B7" s="76"/>
      <c r="C7" s="77"/>
      <c r="D7" s="78"/>
      <c r="E7" s="78"/>
      <c r="F7" s="72"/>
      <c r="G7" s="72"/>
      <c r="H7" s="72"/>
      <c r="I7" s="72"/>
      <c r="J7" s="72"/>
      <c r="K7" s="72"/>
      <c r="L7" s="72"/>
      <c r="M7" s="72"/>
      <c r="N7" s="72"/>
      <c r="O7" s="70"/>
      <c r="P7" s="70"/>
      <c r="Q7" s="71"/>
    </row>
    <row r="8" spans="1:17" ht="35.1" customHeight="1">
      <c r="A8" s="15"/>
      <c r="B8" s="72" t="s">
        <v>270</v>
      </c>
      <c r="C8" s="72"/>
      <c r="D8" s="79" t="s">
        <v>271</v>
      </c>
      <c r="E8" s="81" t="s">
        <v>272</v>
      </c>
      <c r="F8" s="81" t="s">
        <v>2</v>
      </c>
      <c r="G8" s="81"/>
      <c r="H8" s="81"/>
      <c r="I8" s="81"/>
      <c r="J8" s="81">
        <v>1</v>
      </c>
      <c r="K8" s="81">
        <v>1</v>
      </c>
      <c r="L8" s="81">
        <v>1</v>
      </c>
      <c r="M8" s="81">
        <v>1</v>
      </c>
      <c r="N8" s="82">
        <f t="shared" ref="N8:N13" si="0">SUM(J8:M8)</f>
        <v>4</v>
      </c>
      <c r="O8" s="70"/>
      <c r="P8" s="70"/>
      <c r="Q8" s="71"/>
    </row>
    <row r="9" spans="1:17" ht="35.1" customHeight="1">
      <c r="A9" s="15"/>
      <c r="B9" s="72"/>
      <c r="C9" s="72"/>
      <c r="D9" s="79" t="s">
        <v>273</v>
      </c>
      <c r="E9" s="81" t="s">
        <v>274</v>
      </c>
      <c r="F9" s="81" t="s">
        <v>2</v>
      </c>
      <c r="G9" s="81"/>
      <c r="H9" s="81"/>
      <c r="I9" s="81"/>
      <c r="J9" s="81">
        <v>1</v>
      </c>
      <c r="K9" s="81">
        <v>1</v>
      </c>
      <c r="L9" s="81">
        <v>1</v>
      </c>
      <c r="M9" s="81">
        <v>0</v>
      </c>
      <c r="N9" s="82">
        <f t="shared" si="0"/>
        <v>3</v>
      </c>
      <c r="O9" s="70"/>
      <c r="P9" s="70"/>
      <c r="Q9" s="71"/>
    </row>
    <row r="10" spans="1:17" ht="35.1" customHeight="1">
      <c r="A10" s="15"/>
      <c r="B10" s="72"/>
      <c r="C10" s="72"/>
      <c r="D10" s="79" t="s">
        <v>275</v>
      </c>
      <c r="E10" s="81" t="s">
        <v>276</v>
      </c>
      <c r="F10" s="81" t="s">
        <v>2</v>
      </c>
      <c r="G10" s="81"/>
      <c r="H10" s="81"/>
      <c r="I10" s="81"/>
      <c r="J10" s="81">
        <v>1</v>
      </c>
      <c r="K10" s="81">
        <v>1</v>
      </c>
      <c r="L10" s="81">
        <v>0</v>
      </c>
      <c r="M10" s="81">
        <v>0</v>
      </c>
      <c r="N10" s="82">
        <f t="shared" si="0"/>
        <v>2</v>
      </c>
      <c r="O10" s="70"/>
      <c r="P10" s="70"/>
      <c r="Q10" s="71"/>
    </row>
    <row r="11" spans="1:17" ht="35.1" customHeight="1">
      <c r="A11" s="15"/>
      <c r="B11" s="72"/>
      <c r="C11" s="72"/>
      <c r="D11" s="79" t="s">
        <v>277</v>
      </c>
      <c r="E11" s="81" t="s">
        <v>278</v>
      </c>
      <c r="F11" s="81" t="s">
        <v>2</v>
      </c>
      <c r="G11" s="81" t="s">
        <v>2</v>
      </c>
      <c r="H11" s="81"/>
      <c r="I11" s="81"/>
      <c r="J11" s="81">
        <v>0</v>
      </c>
      <c r="K11" s="81">
        <v>1</v>
      </c>
      <c r="L11" s="81">
        <v>1</v>
      </c>
      <c r="M11" s="81">
        <v>0</v>
      </c>
      <c r="N11" s="82">
        <f t="shared" si="0"/>
        <v>2</v>
      </c>
      <c r="O11" s="70"/>
      <c r="P11" s="70"/>
      <c r="Q11" s="71"/>
    </row>
    <row r="12" spans="1:17" ht="35.1" customHeight="1">
      <c r="A12" s="15"/>
      <c r="B12" s="72"/>
      <c r="C12" s="72"/>
      <c r="D12" s="79" t="s">
        <v>279</v>
      </c>
      <c r="E12" s="81" t="s">
        <v>280</v>
      </c>
      <c r="F12" s="81"/>
      <c r="G12" s="81" t="s">
        <v>2</v>
      </c>
      <c r="H12" s="81"/>
      <c r="I12" s="81"/>
      <c r="J12" s="81">
        <v>1</v>
      </c>
      <c r="K12" s="81">
        <v>1</v>
      </c>
      <c r="L12" s="81">
        <v>1</v>
      </c>
      <c r="M12" s="81">
        <v>1</v>
      </c>
      <c r="N12" s="82">
        <f t="shared" si="0"/>
        <v>4</v>
      </c>
      <c r="O12" s="70"/>
      <c r="P12" s="70"/>
      <c r="Q12" s="71"/>
    </row>
    <row r="13" spans="1:17" ht="35.1" customHeight="1">
      <c r="A13" s="15"/>
      <c r="B13" s="72"/>
      <c r="C13" s="72"/>
      <c r="D13" s="79" t="s">
        <v>281</v>
      </c>
      <c r="E13" s="81" t="s">
        <v>282</v>
      </c>
      <c r="F13" s="81" t="s">
        <v>2</v>
      </c>
      <c r="G13" s="81"/>
      <c r="H13" s="81"/>
      <c r="I13" s="81"/>
      <c r="J13" s="81">
        <v>0</v>
      </c>
      <c r="K13" s="81">
        <v>1</v>
      </c>
      <c r="L13" s="81">
        <v>1</v>
      </c>
      <c r="M13" s="81">
        <v>0</v>
      </c>
      <c r="N13" s="82">
        <f t="shared" si="0"/>
        <v>2</v>
      </c>
      <c r="O13" s="70"/>
      <c r="P13" s="70"/>
      <c r="Q13" s="71"/>
    </row>
    <row r="14" spans="1:17" ht="24.95" customHeight="1">
      <c r="A14" s="15"/>
      <c r="B14" s="88" t="s">
        <v>283</v>
      </c>
      <c r="C14" s="88"/>
      <c r="D14" s="88"/>
      <c r="E14" s="88"/>
      <c r="F14" s="88"/>
      <c r="G14" s="88"/>
      <c r="H14" s="88"/>
      <c r="I14" s="88"/>
      <c r="J14" s="82">
        <f>SUM(J8:J13)</f>
        <v>4</v>
      </c>
      <c r="K14" s="82">
        <f>SUM(K8:K13)</f>
        <v>6</v>
      </c>
      <c r="L14" s="82">
        <f>SUM(L8:L13)</f>
        <v>5</v>
      </c>
      <c r="M14" s="82">
        <f>SUM(M8:M13)</f>
        <v>2</v>
      </c>
      <c r="N14" s="82">
        <f>SUM(N8:N13)</f>
        <v>17</v>
      </c>
      <c r="O14" s="70"/>
      <c r="P14" s="70"/>
      <c r="Q14" s="71"/>
    </row>
    <row r="15" spans="1:17" ht="35.1" customHeight="1">
      <c r="A15" s="15"/>
      <c r="B15" s="72" t="s">
        <v>284</v>
      </c>
      <c r="C15" s="72"/>
      <c r="D15" s="79" t="s">
        <v>285</v>
      </c>
      <c r="E15" s="81" t="s">
        <v>286</v>
      </c>
      <c r="F15" s="81"/>
      <c r="G15" s="81" t="s">
        <v>2</v>
      </c>
      <c r="H15" s="81"/>
      <c r="I15" s="81"/>
      <c r="J15" s="81">
        <v>1</v>
      </c>
      <c r="K15" s="81">
        <v>1</v>
      </c>
      <c r="L15" s="81">
        <v>1</v>
      </c>
      <c r="M15" s="81">
        <v>1</v>
      </c>
      <c r="N15" s="82">
        <f>SUM(J15:M15)</f>
        <v>4</v>
      </c>
      <c r="O15" s="70"/>
      <c r="P15" s="70"/>
      <c r="Q15" s="71"/>
    </row>
    <row r="16" spans="1:17" ht="35.1" customHeight="1">
      <c r="A16" s="15"/>
      <c r="B16" s="72"/>
      <c r="C16" s="72"/>
      <c r="D16" s="79" t="s">
        <v>287</v>
      </c>
      <c r="E16" s="81" t="s">
        <v>288</v>
      </c>
      <c r="F16" s="81"/>
      <c r="G16" s="81" t="s">
        <v>2</v>
      </c>
      <c r="H16" s="81"/>
      <c r="I16" s="81"/>
      <c r="J16" s="81">
        <v>1</v>
      </c>
      <c r="K16" s="81">
        <v>1</v>
      </c>
      <c r="L16" s="81">
        <v>1</v>
      </c>
      <c r="M16" s="81">
        <v>0</v>
      </c>
      <c r="N16" s="82">
        <f>SUM(J16:M16)</f>
        <v>3</v>
      </c>
      <c r="O16" s="70"/>
      <c r="P16" s="70"/>
      <c r="Q16" s="71"/>
    </row>
    <row r="17" spans="1:17" ht="35.1" customHeight="1">
      <c r="A17" s="15"/>
      <c r="B17" s="72"/>
      <c r="C17" s="72"/>
      <c r="D17" s="79" t="s">
        <v>289</v>
      </c>
      <c r="E17" s="81" t="s">
        <v>290</v>
      </c>
      <c r="F17" s="81"/>
      <c r="G17" s="81" t="s">
        <v>2</v>
      </c>
      <c r="H17" s="81"/>
      <c r="I17" s="81"/>
      <c r="J17" s="81">
        <v>1</v>
      </c>
      <c r="K17" s="81">
        <v>1</v>
      </c>
      <c r="L17" s="81">
        <v>1</v>
      </c>
      <c r="M17" s="81">
        <v>0</v>
      </c>
      <c r="N17" s="82">
        <f>SUM(J17:M17)</f>
        <v>3</v>
      </c>
      <c r="O17" s="70"/>
      <c r="P17" s="70"/>
      <c r="Q17" s="71"/>
    </row>
    <row r="18" spans="1:17" ht="24.95" customHeight="1">
      <c r="A18" s="15"/>
      <c r="B18" s="88" t="s">
        <v>291</v>
      </c>
      <c r="C18" s="88"/>
      <c r="D18" s="88"/>
      <c r="E18" s="88"/>
      <c r="F18" s="88"/>
      <c r="G18" s="88"/>
      <c r="H18" s="88"/>
      <c r="I18" s="88"/>
      <c r="J18" s="82">
        <f>SUM(J15:J17)</f>
        <v>3</v>
      </c>
      <c r="K18" s="82">
        <f>SUM(K15:K17)</f>
        <v>3</v>
      </c>
      <c r="L18" s="82">
        <f>SUM(L15:L17)</f>
        <v>3</v>
      </c>
      <c r="M18" s="82">
        <f>SUM(M15:M17)</f>
        <v>1</v>
      </c>
      <c r="N18" s="82">
        <f>SUM(N15:N17)</f>
        <v>10</v>
      </c>
      <c r="O18" s="70"/>
      <c r="P18" s="70"/>
      <c r="Q18" s="71"/>
    </row>
    <row r="19" spans="1:17" ht="35.1" customHeight="1">
      <c r="A19" s="15"/>
      <c r="B19" s="72" t="s">
        <v>292</v>
      </c>
      <c r="C19" s="72"/>
      <c r="D19" s="79" t="s">
        <v>293</v>
      </c>
      <c r="E19" s="81" t="s">
        <v>294</v>
      </c>
      <c r="F19" s="81" t="s">
        <v>2</v>
      </c>
      <c r="G19" s="81"/>
      <c r="H19" s="81" t="s">
        <v>2</v>
      </c>
      <c r="I19" s="81"/>
      <c r="J19" s="81">
        <v>1</v>
      </c>
      <c r="K19" s="81">
        <v>1</v>
      </c>
      <c r="L19" s="81">
        <v>1</v>
      </c>
      <c r="M19" s="81">
        <v>0</v>
      </c>
      <c r="N19" s="82">
        <f>SUM(J19:M19)</f>
        <v>3</v>
      </c>
      <c r="O19" s="70"/>
      <c r="P19" s="70"/>
      <c r="Q19" s="71"/>
    </row>
    <row r="20" spans="1:17" ht="35.1" customHeight="1">
      <c r="A20" s="15"/>
      <c r="B20" s="72"/>
      <c r="C20" s="72"/>
      <c r="D20" s="79" t="s">
        <v>295</v>
      </c>
      <c r="E20" s="81" t="s">
        <v>296</v>
      </c>
      <c r="F20" s="81"/>
      <c r="G20" s="81"/>
      <c r="H20" s="81" t="s">
        <v>2</v>
      </c>
      <c r="I20" s="81"/>
      <c r="J20" s="81">
        <v>1</v>
      </c>
      <c r="K20" s="81">
        <v>1</v>
      </c>
      <c r="L20" s="81">
        <v>0</v>
      </c>
      <c r="M20" s="81">
        <v>0</v>
      </c>
      <c r="N20" s="82">
        <f>SUM(J20:M20)</f>
        <v>2</v>
      </c>
      <c r="O20" s="70"/>
      <c r="P20" s="70"/>
      <c r="Q20" s="71"/>
    </row>
    <row r="21" spans="1:17" ht="35.1" customHeight="1">
      <c r="A21" s="15"/>
      <c r="B21" s="72"/>
      <c r="C21" s="72"/>
      <c r="D21" s="79" t="s">
        <v>297</v>
      </c>
      <c r="E21" s="81" t="s">
        <v>298</v>
      </c>
      <c r="F21" s="81"/>
      <c r="G21" s="81"/>
      <c r="H21" s="81" t="s">
        <v>2</v>
      </c>
      <c r="I21" s="81"/>
      <c r="J21" s="81">
        <v>1</v>
      </c>
      <c r="K21" s="81">
        <v>1</v>
      </c>
      <c r="L21" s="81">
        <v>1</v>
      </c>
      <c r="M21" s="81">
        <v>0</v>
      </c>
      <c r="N21" s="82">
        <f>SUM(J21:M21)</f>
        <v>3</v>
      </c>
      <c r="O21" s="70"/>
      <c r="P21" s="70"/>
      <c r="Q21" s="71"/>
    </row>
    <row r="22" spans="1:17" ht="24.95" customHeight="1">
      <c r="A22" s="15"/>
      <c r="B22" s="88" t="s">
        <v>299</v>
      </c>
      <c r="C22" s="88"/>
      <c r="D22" s="88"/>
      <c r="E22" s="88"/>
      <c r="F22" s="88"/>
      <c r="G22" s="88"/>
      <c r="H22" s="88"/>
      <c r="I22" s="88"/>
      <c r="J22" s="82">
        <f>SUM(J19:J21)</f>
        <v>3</v>
      </c>
      <c r="K22" s="82">
        <f>SUM(K19:K21)</f>
        <v>3</v>
      </c>
      <c r="L22" s="82">
        <f>SUM(L19:L21)</f>
        <v>2</v>
      </c>
      <c r="M22" s="82">
        <f>SUM(M19:M21)</f>
        <v>0</v>
      </c>
      <c r="N22" s="82">
        <f>SUM(N19:N21)</f>
        <v>8</v>
      </c>
      <c r="O22" s="70"/>
      <c r="P22" s="70"/>
      <c r="Q22" s="71"/>
    </row>
    <row r="23" spans="1:17" ht="35.1" customHeight="1">
      <c r="A23" s="15"/>
      <c r="B23" s="72" t="s">
        <v>300</v>
      </c>
      <c r="C23" s="72"/>
      <c r="D23" s="79" t="s">
        <v>301</v>
      </c>
      <c r="E23" s="81" t="s">
        <v>302</v>
      </c>
      <c r="F23" s="81"/>
      <c r="G23" s="81"/>
      <c r="H23" s="81"/>
      <c r="I23" s="81" t="s">
        <v>2</v>
      </c>
      <c r="J23" s="81">
        <v>1</v>
      </c>
      <c r="K23" s="81">
        <v>1</v>
      </c>
      <c r="L23" s="81">
        <v>1</v>
      </c>
      <c r="M23" s="81">
        <v>1</v>
      </c>
      <c r="N23" s="82">
        <f t="shared" ref="N23:N28" si="1">SUM(J23:M23)</f>
        <v>4</v>
      </c>
      <c r="O23" s="70"/>
      <c r="P23" s="70"/>
      <c r="Q23" s="71"/>
    </row>
    <row r="24" spans="1:17" ht="35.1" customHeight="1">
      <c r="A24" s="15"/>
      <c r="B24" s="72"/>
      <c r="C24" s="72"/>
      <c r="D24" s="79" t="s">
        <v>303</v>
      </c>
      <c r="E24" s="81" t="s">
        <v>304</v>
      </c>
      <c r="F24" s="81"/>
      <c r="G24" s="81"/>
      <c r="H24" s="81"/>
      <c r="I24" s="81" t="s">
        <v>2</v>
      </c>
      <c r="J24" s="81">
        <v>1</v>
      </c>
      <c r="K24" s="81">
        <v>1</v>
      </c>
      <c r="L24" s="81">
        <v>1</v>
      </c>
      <c r="M24" s="81">
        <v>0</v>
      </c>
      <c r="N24" s="82">
        <f t="shared" si="1"/>
        <v>3</v>
      </c>
      <c r="O24" s="70"/>
      <c r="P24" s="70"/>
      <c r="Q24" s="71"/>
    </row>
    <row r="25" spans="1:17" ht="35.1" customHeight="1">
      <c r="A25" s="15"/>
      <c r="B25" s="72"/>
      <c r="C25" s="72"/>
      <c r="D25" s="79" t="s">
        <v>305</v>
      </c>
      <c r="E25" s="81" t="s">
        <v>306</v>
      </c>
      <c r="F25" s="81"/>
      <c r="G25" s="81"/>
      <c r="H25" s="81"/>
      <c r="I25" s="81" t="s">
        <v>2</v>
      </c>
      <c r="J25" s="81">
        <v>1</v>
      </c>
      <c r="K25" s="81">
        <v>1</v>
      </c>
      <c r="L25" s="81">
        <v>0</v>
      </c>
      <c r="M25" s="81">
        <v>1</v>
      </c>
      <c r="N25" s="82">
        <f t="shared" si="1"/>
        <v>3</v>
      </c>
      <c r="O25" s="70"/>
      <c r="P25" s="70"/>
      <c r="Q25" s="71"/>
    </row>
    <row r="26" spans="1:17" ht="35.1" customHeight="1">
      <c r="A26" s="15"/>
      <c r="B26" s="72"/>
      <c r="C26" s="72"/>
      <c r="D26" s="79" t="s">
        <v>307</v>
      </c>
      <c r="E26" s="81" t="s">
        <v>308</v>
      </c>
      <c r="F26" s="81"/>
      <c r="G26" s="81" t="s">
        <v>2</v>
      </c>
      <c r="H26" s="81"/>
      <c r="I26" s="81" t="s">
        <v>2</v>
      </c>
      <c r="J26" s="81">
        <v>1</v>
      </c>
      <c r="K26" s="81">
        <v>1</v>
      </c>
      <c r="L26" s="81">
        <v>1</v>
      </c>
      <c r="M26" s="81">
        <v>0</v>
      </c>
      <c r="N26" s="82">
        <f t="shared" si="1"/>
        <v>3</v>
      </c>
      <c r="O26" s="70"/>
      <c r="P26" s="70"/>
      <c r="Q26" s="71"/>
    </row>
    <row r="27" spans="1:17" ht="35.1" customHeight="1">
      <c r="A27" s="15"/>
      <c r="B27" s="72"/>
      <c r="C27" s="72"/>
      <c r="D27" s="79" t="s">
        <v>309</v>
      </c>
      <c r="E27" s="81" t="s">
        <v>310</v>
      </c>
      <c r="F27" s="81"/>
      <c r="G27" s="81"/>
      <c r="H27" s="81"/>
      <c r="I27" s="81" t="s">
        <v>2</v>
      </c>
      <c r="J27" s="81">
        <v>1</v>
      </c>
      <c r="K27" s="81">
        <v>1</v>
      </c>
      <c r="L27" s="81">
        <v>1</v>
      </c>
      <c r="M27" s="81">
        <v>1</v>
      </c>
      <c r="N27" s="82">
        <f t="shared" si="1"/>
        <v>4</v>
      </c>
      <c r="O27" s="70"/>
      <c r="P27" s="70"/>
      <c r="Q27" s="71"/>
    </row>
    <row r="28" spans="1:17" ht="35.1" customHeight="1">
      <c r="A28" s="16"/>
      <c r="B28" s="72"/>
      <c r="C28" s="72"/>
      <c r="D28" s="79" t="s">
        <v>311</v>
      </c>
      <c r="E28" s="84" t="s">
        <v>312</v>
      </c>
      <c r="F28" s="84"/>
      <c r="G28" s="84"/>
      <c r="H28" s="84" t="s">
        <v>2</v>
      </c>
      <c r="I28" s="84" t="s">
        <v>2</v>
      </c>
      <c r="J28" s="84">
        <v>1</v>
      </c>
      <c r="K28" s="84">
        <v>1</v>
      </c>
      <c r="L28" s="84">
        <v>1</v>
      </c>
      <c r="M28" s="84">
        <v>1</v>
      </c>
      <c r="N28" s="82">
        <f t="shared" si="1"/>
        <v>4</v>
      </c>
      <c r="O28" s="85"/>
      <c r="P28" s="85"/>
      <c r="Q28" s="71"/>
    </row>
    <row r="29" spans="1:17" ht="24.95" customHeight="1">
      <c r="A29" s="16"/>
      <c r="B29" s="88" t="s">
        <v>313</v>
      </c>
      <c r="C29" s="88"/>
      <c r="D29" s="88"/>
      <c r="E29" s="88"/>
      <c r="F29" s="88"/>
      <c r="G29" s="88"/>
      <c r="H29" s="88"/>
      <c r="I29" s="88"/>
      <c r="J29" s="82">
        <f>SUM(J23:J28)</f>
        <v>6</v>
      </c>
      <c r="K29" s="82">
        <f>SUM(K23:K28)</f>
        <v>6</v>
      </c>
      <c r="L29" s="82">
        <f>SUM(L23:L28)</f>
        <v>5</v>
      </c>
      <c r="M29" s="82">
        <f>SUM(M23:M28)</f>
        <v>4</v>
      </c>
      <c r="N29" s="82">
        <f>SUM(N23:N28)</f>
        <v>21</v>
      </c>
      <c r="O29" s="85"/>
      <c r="P29" s="85"/>
      <c r="Q29" s="71"/>
    </row>
    <row r="30" spans="1:17" ht="24.95" customHeight="1">
      <c r="A30" s="16"/>
      <c r="B30" s="63" t="s">
        <v>389</v>
      </c>
      <c r="C30" s="63"/>
      <c r="D30" s="63"/>
      <c r="E30" s="63"/>
      <c r="F30" s="63"/>
      <c r="G30" s="63"/>
      <c r="H30" s="63"/>
      <c r="I30" s="63"/>
      <c r="J30" s="86">
        <f>J14+J18+J22+J29</f>
        <v>16</v>
      </c>
      <c r="K30" s="86">
        <f>K14+K18+K22+K29</f>
        <v>18</v>
      </c>
      <c r="L30" s="86">
        <f>L14+L18+L22+L29</f>
        <v>15</v>
      </c>
      <c r="M30" s="86">
        <f>M14+M18+M22+M29</f>
        <v>7</v>
      </c>
      <c r="N30" s="86">
        <f>N14+N18+N22+N29</f>
        <v>56</v>
      </c>
      <c r="O30" s="85"/>
      <c r="P30" s="85"/>
      <c r="Q30" s="71"/>
    </row>
    <row r="31" spans="1:17">
      <c r="A31" s="16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71"/>
    </row>
    <row r="32" spans="1:17" ht="20.100000000000001" customHeight="1">
      <c r="A32" s="16"/>
      <c r="B32" s="69" t="s">
        <v>85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85"/>
      <c r="P32" s="85"/>
      <c r="Q32" s="71"/>
    </row>
    <row r="33" spans="1:17" ht="24.95" customHeight="1">
      <c r="A33" s="16"/>
      <c r="B33" s="69" t="s">
        <v>314</v>
      </c>
      <c r="C33" s="69"/>
      <c r="D33" s="69"/>
      <c r="E33" s="68" t="s">
        <v>315</v>
      </c>
      <c r="F33" s="68"/>
      <c r="G33" s="68"/>
      <c r="H33" s="68"/>
      <c r="I33" s="68"/>
      <c r="J33" s="68"/>
      <c r="K33" s="68"/>
      <c r="L33" s="68"/>
      <c r="M33" s="68"/>
      <c r="N33" s="68"/>
      <c r="O33" s="85"/>
      <c r="P33" s="85"/>
      <c r="Q33" s="71"/>
    </row>
    <row r="34" spans="1:17" ht="24.95" customHeight="1">
      <c r="A34" s="16"/>
      <c r="B34" s="69" t="s">
        <v>316</v>
      </c>
      <c r="C34" s="69"/>
      <c r="D34" s="69"/>
      <c r="E34" s="68" t="s">
        <v>317</v>
      </c>
      <c r="F34" s="68"/>
      <c r="G34" s="68"/>
      <c r="H34" s="68"/>
      <c r="I34" s="68"/>
      <c r="J34" s="68"/>
      <c r="K34" s="68"/>
      <c r="L34" s="68"/>
      <c r="M34" s="68"/>
      <c r="N34" s="68"/>
      <c r="O34" s="85"/>
      <c r="P34" s="85"/>
      <c r="Q34" s="71"/>
    </row>
    <row r="35" spans="1:17" ht="24.95" customHeight="1">
      <c r="A35" s="16"/>
      <c r="B35" s="69" t="s">
        <v>318</v>
      </c>
      <c r="C35" s="69"/>
      <c r="D35" s="69"/>
      <c r="E35" s="68" t="s">
        <v>319</v>
      </c>
      <c r="F35" s="68"/>
      <c r="G35" s="68"/>
      <c r="H35" s="68"/>
      <c r="I35" s="68"/>
      <c r="J35" s="68"/>
      <c r="K35" s="68"/>
      <c r="L35" s="68"/>
      <c r="M35" s="68"/>
      <c r="N35" s="68"/>
      <c r="O35" s="85"/>
      <c r="P35" s="85"/>
      <c r="Q35" s="71"/>
    </row>
    <row r="36" spans="1:17" ht="24.95" customHeight="1">
      <c r="A36" s="16"/>
      <c r="B36" s="69" t="s">
        <v>320</v>
      </c>
      <c r="C36" s="69"/>
      <c r="D36" s="69"/>
      <c r="E36" s="68" t="s">
        <v>321</v>
      </c>
      <c r="F36" s="68"/>
      <c r="G36" s="68"/>
      <c r="H36" s="68"/>
      <c r="I36" s="68"/>
      <c r="J36" s="68"/>
      <c r="K36" s="68"/>
      <c r="L36" s="68"/>
      <c r="M36" s="68"/>
      <c r="N36" s="68"/>
      <c r="O36" s="85"/>
      <c r="P36" s="85"/>
      <c r="Q36" s="71"/>
    </row>
    <row r="37" spans="1:17">
      <c r="A37" s="16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71"/>
    </row>
    <row r="38" spans="1:17" ht="47.65" customHeight="1">
      <c r="A38" s="16"/>
      <c r="B38" s="87" t="s">
        <v>100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5"/>
      <c r="P38" s="85"/>
      <c r="Q38" s="71"/>
    </row>
    <row r="39" spans="1:17">
      <c r="A39" s="17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</row>
    <row r="40" spans="1:17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</sheetData>
  <mergeCells count="37">
    <mergeCell ref="B35:D35"/>
    <mergeCell ref="E35:N35"/>
    <mergeCell ref="B36:D36"/>
    <mergeCell ref="E36:N36"/>
    <mergeCell ref="B38:N38"/>
    <mergeCell ref="B30:I30"/>
    <mergeCell ref="B32:N32"/>
    <mergeCell ref="B33:D33"/>
    <mergeCell ref="E33:N33"/>
    <mergeCell ref="B34:D34"/>
    <mergeCell ref="E34:N34"/>
    <mergeCell ref="B18:I18"/>
    <mergeCell ref="B19:C21"/>
    <mergeCell ref="B22:I22"/>
    <mergeCell ref="B23:C28"/>
    <mergeCell ref="B29:I29"/>
    <mergeCell ref="M6:M7"/>
    <mergeCell ref="N6:N7"/>
    <mergeCell ref="B8:C13"/>
    <mergeCell ref="B14:I14"/>
    <mergeCell ref="B15:C17"/>
    <mergeCell ref="H6:H7"/>
    <mergeCell ref="I6:I7"/>
    <mergeCell ref="J6:J7"/>
    <mergeCell ref="K6:K7"/>
    <mergeCell ref="L6:L7"/>
    <mergeCell ref="B6:C7"/>
    <mergeCell ref="D6:D7"/>
    <mergeCell ref="E6:E7"/>
    <mergeCell ref="F6:F7"/>
    <mergeCell ref="G6:G7"/>
    <mergeCell ref="B2:N3"/>
    <mergeCell ref="B4:C5"/>
    <mergeCell ref="D4:D5"/>
    <mergeCell ref="E4:E5"/>
    <mergeCell ref="F4:I5"/>
    <mergeCell ref="J4:N5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0"/>
  <sheetViews>
    <sheetView tabSelected="1" zoomScale="95" zoomScaleNormal="95" workbookViewId="0">
      <selection activeCell="Q33" sqref="Q33"/>
    </sheetView>
  </sheetViews>
  <sheetFormatPr baseColWidth="10" defaultColWidth="6" defaultRowHeight="15"/>
  <cols>
    <col min="1" max="1" width="3" style="2" customWidth="1"/>
    <col min="2" max="2" width="5" style="2" customWidth="1"/>
    <col min="3" max="3" width="18" customWidth="1"/>
    <col min="4" max="4" width="12" style="2" customWidth="1"/>
    <col min="5" max="5" width="34" style="2" customWidth="1"/>
    <col min="6" max="9" width="13.7109375" customWidth="1"/>
    <col min="13" max="13" width="6" style="2"/>
    <col min="15" max="16384" width="6" style="2"/>
  </cols>
  <sheetData>
    <row r="1" spans="1:16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1.75" customHeight="1">
      <c r="A2" s="9"/>
      <c r="B2" s="64" t="s">
        <v>390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9"/>
      <c r="P2" s="9"/>
    </row>
    <row r="3" spans="1:16" ht="15" customHeight="1">
      <c r="A3" s="9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9"/>
      <c r="P3" s="9"/>
    </row>
    <row r="4" spans="1:16" ht="15" customHeight="1">
      <c r="A4" s="9"/>
      <c r="B4" s="72" t="s">
        <v>17</v>
      </c>
      <c r="C4" s="72"/>
      <c r="D4" s="72" t="s">
        <v>18</v>
      </c>
      <c r="E4" s="72" t="s">
        <v>19</v>
      </c>
      <c r="F4" s="72" t="s">
        <v>20</v>
      </c>
      <c r="G4" s="72"/>
      <c r="H4" s="72"/>
      <c r="I4" s="72"/>
      <c r="J4" s="72" t="s">
        <v>21</v>
      </c>
      <c r="K4" s="72"/>
      <c r="L4" s="72"/>
      <c r="M4" s="72"/>
      <c r="N4" s="72"/>
      <c r="O4" s="9"/>
      <c r="P4" s="9"/>
    </row>
    <row r="5" spans="1:16" ht="15" customHeight="1">
      <c r="A5" s="9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9"/>
      <c r="P5" s="9"/>
    </row>
    <row r="6" spans="1:16" ht="30" customHeight="1">
      <c r="A6" s="9"/>
      <c r="B6" s="73"/>
      <c r="C6" s="74"/>
      <c r="D6" s="75"/>
      <c r="E6" s="75"/>
      <c r="F6" s="72" t="s">
        <v>322</v>
      </c>
      <c r="G6" s="72" t="s">
        <v>323</v>
      </c>
      <c r="H6" s="72" t="s">
        <v>324</v>
      </c>
      <c r="I6" s="72" t="s">
        <v>325</v>
      </c>
      <c r="J6" s="72" t="s">
        <v>1</v>
      </c>
      <c r="K6" s="72" t="s">
        <v>2</v>
      </c>
      <c r="L6" s="72" t="s">
        <v>3</v>
      </c>
      <c r="M6" s="72" t="s">
        <v>4</v>
      </c>
      <c r="N6" s="72" t="s">
        <v>5</v>
      </c>
      <c r="O6" s="9"/>
      <c r="P6" s="9"/>
    </row>
    <row r="7" spans="1:16" ht="27.4" customHeight="1">
      <c r="A7" s="9"/>
      <c r="B7" s="76"/>
      <c r="C7" s="77"/>
      <c r="D7" s="78"/>
      <c r="E7" s="78"/>
      <c r="F7" s="72"/>
      <c r="G7" s="72"/>
      <c r="H7" s="72"/>
      <c r="I7" s="72"/>
      <c r="J7" s="72"/>
      <c r="K7" s="72"/>
      <c r="L7" s="72"/>
      <c r="M7" s="72"/>
      <c r="N7" s="72"/>
      <c r="O7" s="9"/>
      <c r="P7" s="9"/>
    </row>
    <row r="8" spans="1:16" ht="35.1" customHeight="1">
      <c r="A8" s="9"/>
      <c r="B8" s="72" t="s">
        <v>326</v>
      </c>
      <c r="C8" s="72"/>
      <c r="D8" s="79" t="s">
        <v>327</v>
      </c>
      <c r="E8" s="80" t="s">
        <v>328</v>
      </c>
      <c r="F8" s="81" t="s">
        <v>2</v>
      </c>
      <c r="G8" s="81"/>
      <c r="H8" s="81"/>
      <c r="I8" s="81"/>
      <c r="J8" s="81">
        <v>1</v>
      </c>
      <c r="K8" s="81">
        <v>1</v>
      </c>
      <c r="L8" s="81">
        <v>1</v>
      </c>
      <c r="M8" s="81">
        <v>0</v>
      </c>
      <c r="N8" s="82">
        <f>SUM(J8:M8)</f>
        <v>3</v>
      </c>
      <c r="O8" s="9"/>
      <c r="P8" s="9"/>
    </row>
    <row r="9" spans="1:16" ht="35.1" customHeight="1">
      <c r="A9" s="9"/>
      <c r="B9" s="72"/>
      <c r="C9" s="72"/>
      <c r="D9" s="79" t="s">
        <v>329</v>
      </c>
      <c r="E9" s="80" t="s">
        <v>330</v>
      </c>
      <c r="F9" s="81" t="s">
        <v>2</v>
      </c>
      <c r="G9" s="81"/>
      <c r="H9" s="81"/>
      <c r="I9" s="81"/>
      <c r="J9" s="81">
        <v>1</v>
      </c>
      <c r="K9" s="81">
        <v>1</v>
      </c>
      <c r="L9" s="81">
        <v>1</v>
      </c>
      <c r="M9" s="81">
        <v>0</v>
      </c>
      <c r="N9" s="82">
        <f>SUM(J9:M9)</f>
        <v>3</v>
      </c>
      <c r="O9" s="9"/>
      <c r="P9" s="9"/>
    </row>
    <row r="10" spans="1:16" ht="35.1" customHeight="1">
      <c r="A10" s="9"/>
      <c r="B10" s="72"/>
      <c r="C10" s="72"/>
      <c r="D10" s="79" t="s">
        <v>331</v>
      </c>
      <c r="E10" s="80" t="s">
        <v>332</v>
      </c>
      <c r="F10" s="81" t="s">
        <v>2</v>
      </c>
      <c r="G10" s="81"/>
      <c r="H10" s="81"/>
      <c r="I10" s="81"/>
      <c r="J10" s="81">
        <v>1</v>
      </c>
      <c r="K10" s="81">
        <v>1</v>
      </c>
      <c r="L10" s="81">
        <v>0</v>
      </c>
      <c r="M10" s="81">
        <v>0</v>
      </c>
      <c r="N10" s="82">
        <f>SUM(J10:M10)</f>
        <v>2</v>
      </c>
      <c r="O10" s="9"/>
      <c r="P10" s="9"/>
    </row>
    <row r="11" spans="1:16" ht="24.95" customHeight="1">
      <c r="A11" s="9"/>
      <c r="B11" s="88" t="s">
        <v>333</v>
      </c>
      <c r="C11" s="88"/>
      <c r="D11" s="88"/>
      <c r="E11" s="88"/>
      <c r="F11" s="88"/>
      <c r="G11" s="88"/>
      <c r="H11" s="88"/>
      <c r="I11" s="88"/>
      <c r="J11" s="82">
        <f>SUM(J8:J10)</f>
        <v>3</v>
      </c>
      <c r="K11" s="82">
        <f>SUM(K8:K10)</f>
        <v>3</v>
      </c>
      <c r="L11" s="82">
        <f>SUM(L8:L10)</f>
        <v>2</v>
      </c>
      <c r="M11" s="82">
        <f>SUM(M8:M10)</f>
        <v>0</v>
      </c>
      <c r="N11" s="82">
        <f>SUM(N8:N10)</f>
        <v>8</v>
      </c>
      <c r="O11" s="9"/>
      <c r="P11" s="9"/>
    </row>
    <row r="12" spans="1:16" ht="35.1" customHeight="1">
      <c r="A12" s="9"/>
      <c r="B12" s="72" t="s">
        <v>334</v>
      </c>
      <c r="C12" s="72"/>
      <c r="D12" s="79" t="s">
        <v>335</v>
      </c>
      <c r="E12" s="80" t="s">
        <v>336</v>
      </c>
      <c r="F12" s="81"/>
      <c r="G12" s="81" t="s">
        <v>2</v>
      </c>
      <c r="H12" s="81"/>
      <c r="I12" s="81"/>
      <c r="J12" s="81">
        <v>1</v>
      </c>
      <c r="K12" s="81">
        <v>1</v>
      </c>
      <c r="L12" s="81">
        <v>1</v>
      </c>
      <c r="M12" s="81">
        <v>0</v>
      </c>
      <c r="N12" s="82">
        <f>SUM(J12:M12)</f>
        <v>3</v>
      </c>
      <c r="O12" s="9"/>
      <c r="P12" s="9"/>
    </row>
    <row r="13" spans="1:16" ht="35.1" customHeight="1">
      <c r="A13" s="9"/>
      <c r="B13" s="72"/>
      <c r="C13" s="72"/>
      <c r="D13" s="79" t="s">
        <v>337</v>
      </c>
      <c r="E13" s="80" t="s">
        <v>338</v>
      </c>
      <c r="F13" s="81"/>
      <c r="G13" s="81" t="s">
        <v>2</v>
      </c>
      <c r="H13" s="81"/>
      <c r="I13" s="81"/>
      <c r="J13" s="81">
        <v>1</v>
      </c>
      <c r="K13" s="81">
        <v>1</v>
      </c>
      <c r="L13" s="81">
        <v>1</v>
      </c>
      <c r="M13" s="81">
        <v>0</v>
      </c>
      <c r="N13" s="82">
        <f>SUM(J13:M13)</f>
        <v>3</v>
      </c>
      <c r="O13" s="9"/>
      <c r="P13" s="9"/>
    </row>
    <row r="14" spans="1:16" ht="35.1" customHeight="1">
      <c r="A14" s="9"/>
      <c r="B14" s="72"/>
      <c r="C14" s="72"/>
      <c r="D14" s="79" t="s">
        <v>339</v>
      </c>
      <c r="E14" s="80" t="s">
        <v>340</v>
      </c>
      <c r="F14" s="81"/>
      <c r="G14" s="81" t="s">
        <v>2</v>
      </c>
      <c r="H14" s="81"/>
      <c r="I14" s="81"/>
      <c r="J14" s="81">
        <v>1</v>
      </c>
      <c r="K14" s="81">
        <v>1</v>
      </c>
      <c r="L14" s="81">
        <v>1</v>
      </c>
      <c r="M14" s="81">
        <v>0</v>
      </c>
      <c r="N14" s="82">
        <f>SUM(J14:M14)</f>
        <v>3</v>
      </c>
      <c r="O14" s="9"/>
      <c r="P14" s="9"/>
    </row>
    <row r="15" spans="1:16" ht="24.95" customHeight="1">
      <c r="A15" s="9"/>
      <c r="B15" s="88" t="s">
        <v>341</v>
      </c>
      <c r="C15" s="88"/>
      <c r="D15" s="88"/>
      <c r="E15" s="88"/>
      <c r="F15" s="88"/>
      <c r="G15" s="88"/>
      <c r="H15" s="88"/>
      <c r="I15" s="88"/>
      <c r="J15" s="82">
        <f>SUM(J12:J14)</f>
        <v>3</v>
      </c>
      <c r="K15" s="82">
        <f>SUM(K12:K14)</f>
        <v>3</v>
      </c>
      <c r="L15" s="82">
        <f>SUM(L12:L14)</f>
        <v>3</v>
      </c>
      <c r="M15" s="82">
        <f>SUM(M12:M14)</f>
        <v>0</v>
      </c>
      <c r="N15" s="82">
        <f>SUM(N12:N14)</f>
        <v>9</v>
      </c>
      <c r="O15" s="9"/>
      <c r="P15" s="9"/>
    </row>
    <row r="16" spans="1:16" ht="35.1" customHeight="1">
      <c r="A16" s="9"/>
      <c r="B16" s="72" t="s">
        <v>342</v>
      </c>
      <c r="C16" s="72"/>
      <c r="D16" s="79" t="s">
        <v>343</v>
      </c>
      <c r="E16" s="80" t="s">
        <v>344</v>
      </c>
      <c r="F16" s="81"/>
      <c r="G16" s="81"/>
      <c r="H16" s="81" t="s">
        <v>2</v>
      </c>
      <c r="I16" s="81"/>
      <c r="J16" s="81">
        <v>1</v>
      </c>
      <c r="K16" s="81">
        <v>1</v>
      </c>
      <c r="L16" s="81">
        <v>0</v>
      </c>
      <c r="M16" s="81">
        <v>1</v>
      </c>
      <c r="N16" s="82">
        <f t="shared" ref="N16:N21" si="0">SUM(J16:M16)</f>
        <v>3</v>
      </c>
      <c r="O16" s="9"/>
      <c r="P16" s="9"/>
    </row>
    <row r="17" spans="1:16" ht="35.1" customHeight="1">
      <c r="A17" s="9"/>
      <c r="B17" s="72"/>
      <c r="C17" s="72"/>
      <c r="D17" s="79" t="s">
        <v>345</v>
      </c>
      <c r="E17" s="80" t="s">
        <v>346</v>
      </c>
      <c r="F17" s="81"/>
      <c r="G17" s="81"/>
      <c r="H17" s="81" t="s">
        <v>2</v>
      </c>
      <c r="I17" s="81"/>
      <c r="J17" s="81">
        <v>1</v>
      </c>
      <c r="K17" s="81">
        <v>1</v>
      </c>
      <c r="L17" s="81">
        <v>0</v>
      </c>
      <c r="M17" s="81">
        <v>0</v>
      </c>
      <c r="N17" s="82">
        <f t="shared" si="0"/>
        <v>2</v>
      </c>
      <c r="O17" s="9"/>
      <c r="P17" s="9"/>
    </row>
    <row r="18" spans="1:16" ht="35.1" customHeight="1">
      <c r="A18" s="9"/>
      <c r="B18" s="72"/>
      <c r="C18" s="72"/>
      <c r="D18" s="79" t="s">
        <v>347</v>
      </c>
      <c r="E18" s="80" t="s">
        <v>348</v>
      </c>
      <c r="F18" s="81"/>
      <c r="G18" s="81"/>
      <c r="H18" s="81" t="s">
        <v>2</v>
      </c>
      <c r="I18" s="81"/>
      <c r="J18" s="81">
        <v>1</v>
      </c>
      <c r="K18" s="81">
        <v>1</v>
      </c>
      <c r="L18" s="81">
        <v>1</v>
      </c>
      <c r="M18" s="81">
        <v>0</v>
      </c>
      <c r="N18" s="82">
        <f t="shared" si="0"/>
        <v>3</v>
      </c>
      <c r="O18" s="9"/>
      <c r="P18" s="9"/>
    </row>
    <row r="19" spans="1:16" ht="35.1" customHeight="1">
      <c r="A19" s="9"/>
      <c r="B19" s="72"/>
      <c r="C19" s="72"/>
      <c r="D19" s="79" t="s">
        <v>349</v>
      </c>
      <c r="E19" s="80" t="s">
        <v>350</v>
      </c>
      <c r="F19" s="81"/>
      <c r="G19" s="81"/>
      <c r="H19" s="81" t="s">
        <v>2</v>
      </c>
      <c r="I19" s="81"/>
      <c r="J19" s="81">
        <v>0</v>
      </c>
      <c r="K19" s="81">
        <v>1</v>
      </c>
      <c r="L19" s="81">
        <v>1</v>
      </c>
      <c r="M19" s="81">
        <v>0</v>
      </c>
      <c r="N19" s="82">
        <f t="shared" si="0"/>
        <v>2</v>
      </c>
      <c r="O19" s="9"/>
      <c r="P19" s="9"/>
    </row>
    <row r="20" spans="1:16" ht="35.1" customHeight="1">
      <c r="A20" s="9"/>
      <c r="B20" s="72"/>
      <c r="C20" s="72"/>
      <c r="D20" s="79" t="s">
        <v>351</v>
      </c>
      <c r="E20" s="80" t="s">
        <v>352</v>
      </c>
      <c r="F20" s="81"/>
      <c r="G20" s="81"/>
      <c r="H20" s="81" t="s">
        <v>2</v>
      </c>
      <c r="I20" s="81"/>
      <c r="J20" s="81">
        <v>0</v>
      </c>
      <c r="K20" s="81">
        <v>1</v>
      </c>
      <c r="L20" s="81">
        <v>1</v>
      </c>
      <c r="M20" s="81">
        <v>0</v>
      </c>
      <c r="N20" s="82">
        <f t="shared" si="0"/>
        <v>2</v>
      </c>
      <c r="O20" s="9"/>
      <c r="P20" s="9"/>
    </row>
    <row r="21" spans="1:16" ht="35.1" customHeight="1">
      <c r="A21" s="9"/>
      <c r="B21" s="72"/>
      <c r="C21" s="72"/>
      <c r="D21" s="79" t="s">
        <v>353</v>
      </c>
      <c r="E21" s="80" t="s">
        <v>354</v>
      </c>
      <c r="F21" s="81"/>
      <c r="G21" s="81"/>
      <c r="H21" s="81" t="s">
        <v>2</v>
      </c>
      <c r="I21" s="81"/>
      <c r="J21" s="81">
        <v>1</v>
      </c>
      <c r="K21" s="81">
        <v>1</v>
      </c>
      <c r="L21" s="81">
        <v>1</v>
      </c>
      <c r="M21" s="81">
        <v>0</v>
      </c>
      <c r="N21" s="82">
        <f t="shared" si="0"/>
        <v>3</v>
      </c>
      <c r="O21" s="9"/>
      <c r="P21" s="9"/>
    </row>
    <row r="22" spans="1:16" ht="24.95" customHeight="1">
      <c r="A22" s="9"/>
      <c r="B22" s="88" t="s">
        <v>355</v>
      </c>
      <c r="C22" s="88"/>
      <c r="D22" s="88"/>
      <c r="E22" s="88"/>
      <c r="F22" s="88"/>
      <c r="G22" s="88"/>
      <c r="H22" s="88"/>
      <c r="I22" s="88"/>
      <c r="J22" s="82">
        <f>SUM(J16:J21)</f>
        <v>4</v>
      </c>
      <c r="K22" s="82">
        <f>SUM(K16:K21)</f>
        <v>6</v>
      </c>
      <c r="L22" s="82">
        <f>SUM(L16:L21)</f>
        <v>4</v>
      </c>
      <c r="M22" s="82">
        <f>SUM(M16:M21)</f>
        <v>1</v>
      </c>
      <c r="N22" s="82">
        <f>SUM(N16:N21)</f>
        <v>15</v>
      </c>
      <c r="O22" s="9"/>
      <c r="P22" s="9"/>
    </row>
    <row r="23" spans="1:16" ht="35.1" customHeight="1">
      <c r="A23" s="9"/>
      <c r="B23" s="72" t="s">
        <v>356</v>
      </c>
      <c r="C23" s="72"/>
      <c r="D23" s="79" t="s">
        <v>357</v>
      </c>
      <c r="E23" s="80" t="s">
        <v>358</v>
      </c>
      <c r="F23" s="81"/>
      <c r="G23" s="81"/>
      <c r="H23" s="81"/>
      <c r="I23" s="81" t="s">
        <v>2</v>
      </c>
      <c r="J23" s="81">
        <v>0</v>
      </c>
      <c r="K23" s="81">
        <v>1</v>
      </c>
      <c r="L23" s="81">
        <v>1</v>
      </c>
      <c r="M23" s="81">
        <v>0</v>
      </c>
      <c r="N23" s="82">
        <f t="shared" ref="N23:N28" si="1">SUM(J23:M23)</f>
        <v>2</v>
      </c>
      <c r="O23" s="9"/>
      <c r="P23" s="9"/>
    </row>
    <row r="24" spans="1:16" ht="35.1" customHeight="1">
      <c r="A24" s="9"/>
      <c r="B24" s="72"/>
      <c r="C24" s="72"/>
      <c r="D24" s="79" t="s">
        <v>359</v>
      </c>
      <c r="E24" s="80" t="s">
        <v>360</v>
      </c>
      <c r="F24" s="81"/>
      <c r="G24" s="81"/>
      <c r="H24" s="81"/>
      <c r="I24" s="81" t="s">
        <v>2</v>
      </c>
      <c r="J24" s="81">
        <v>0</v>
      </c>
      <c r="K24" s="81">
        <v>1</v>
      </c>
      <c r="L24" s="81">
        <v>1</v>
      </c>
      <c r="M24" s="81">
        <v>0</v>
      </c>
      <c r="N24" s="82">
        <f t="shared" si="1"/>
        <v>2</v>
      </c>
      <c r="O24" s="9"/>
      <c r="P24" s="9"/>
    </row>
    <row r="25" spans="1:16" ht="35.1" customHeight="1">
      <c r="A25" s="9"/>
      <c r="B25" s="72"/>
      <c r="C25" s="72"/>
      <c r="D25" s="79" t="s">
        <v>361</v>
      </c>
      <c r="E25" s="80" t="s">
        <v>362</v>
      </c>
      <c r="F25" s="81"/>
      <c r="G25" s="81"/>
      <c r="H25" s="81"/>
      <c r="I25" s="81" t="s">
        <v>2</v>
      </c>
      <c r="J25" s="81">
        <v>1</v>
      </c>
      <c r="K25" s="81">
        <v>1</v>
      </c>
      <c r="L25" s="81">
        <v>1</v>
      </c>
      <c r="M25" s="81">
        <v>0</v>
      </c>
      <c r="N25" s="82">
        <f t="shared" si="1"/>
        <v>3</v>
      </c>
      <c r="O25" s="9"/>
      <c r="P25" s="9"/>
    </row>
    <row r="26" spans="1:16" ht="35.1" customHeight="1">
      <c r="A26" s="9"/>
      <c r="B26" s="72"/>
      <c r="C26" s="72"/>
      <c r="D26" s="79" t="s">
        <v>363</v>
      </c>
      <c r="E26" s="80" t="s">
        <v>364</v>
      </c>
      <c r="F26" s="81"/>
      <c r="G26" s="81"/>
      <c r="H26" s="81"/>
      <c r="I26" s="81" t="s">
        <v>2</v>
      </c>
      <c r="J26" s="81">
        <v>1</v>
      </c>
      <c r="K26" s="81">
        <v>1</v>
      </c>
      <c r="L26" s="81">
        <v>1</v>
      </c>
      <c r="M26" s="81">
        <v>0</v>
      </c>
      <c r="N26" s="82">
        <f t="shared" si="1"/>
        <v>3</v>
      </c>
      <c r="O26" s="9"/>
      <c r="P26" s="9"/>
    </row>
    <row r="27" spans="1:16" ht="35.1" customHeight="1">
      <c r="A27" s="9"/>
      <c r="B27" s="72"/>
      <c r="C27" s="72"/>
      <c r="D27" s="79" t="s">
        <v>365</v>
      </c>
      <c r="E27" s="80" t="s">
        <v>366</v>
      </c>
      <c r="F27" s="81"/>
      <c r="G27" s="81"/>
      <c r="H27" s="81"/>
      <c r="I27" s="81" t="s">
        <v>2</v>
      </c>
      <c r="J27" s="81">
        <v>1</v>
      </c>
      <c r="K27" s="81">
        <v>1</v>
      </c>
      <c r="L27" s="81">
        <v>1</v>
      </c>
      <c r="M27" s="81">
        <v>0</v>
      </c>
      <c r="N27" s="82">
        <f t="shared" si="1"/>
        <v>3</v>
      </c>
      <c r="O27" s="9"/>
      <c r="P27" s="9"/>
    </row>
    <row r="28" spans="1:16" ht="35.1" customHeight="1">
      <c r="A28" s="4"/>
      <c r="B28" s="72"/>
      <c r="C28" s="72"/>
      <c r="D28" s="79" t="s">
        <v>367</v>
      </c>
      <c r="E28" s="83" t="s">
        <v>368</v>
      </c>
      <c r="F28" s="84"/>
      <c r="G28" s="84"/>
      <c r="H28" s="84"/>
      <c r="I28" s="84" t="s">
        <v>2</v>
      </c>
      <c r="J28" s="84">
        <v>1</v>
      </c>
      <c r="K28" s="84">
        <v>1</v>
      </c>
      <c r="L28" s="84">
        <v>1</v>
      </c>
      <c r="M28" s="84">
        <v>0</v>
      </c>
      <c r="N28" s="82">
        <f t="shared" si="1"/>
        <v>3</v>
      </c>
      <c r="O28" s="4"/>
      <c r="P28" s="4"/>
    </row>
    <row r="29" spans="1:16" ht="24.95" customHeight="1">
      <c r="A29" s="4"/>
      <c r="B29" s="88" t="s">
        <v>369</v>
      </c>
      <c r="C29" s="88"/>
      <c r="D29" s="88"/>
      <c r="E29" s="88"/>
      <c r="F29" s="88"/>
      <c r="G29" s="88"/>
      <c r="H29" s="88"/>
      <c r="I29" s="88"/>
      <c r="J29" s="82">
        <f>SUM(J23:J28)</f>
        <v>4</v>
      </c>
      <c r="K29" s="82">
        <f>SUM(K23:K28)</f>
        <v>6</v>
      </c>
      <c r="L29" s="82">
        <f>SUM(L23:L28)</f>
        <v>6</v>
      </c>
      <c r="M29" s="82">
        <f>SUM(M23:M28)</f>
        <v>0</v>
      </c>
      <c r="N29" s="82">
        <f>SUM(N23:N28)</f>
        <v>16</v>
      </c>
      <c r="O29" s="4"/>
      <c r="P29" s="4"/>
    </row>
    <row r="30" spans="1:16" ht="24.95" customHeight="1">
      <c r="A30" s="4"/>
      <c r="B30" s="63" t="s">
        <v>391</v>
      </c>
      <c r="C30" s="63"/>
      <c r="D30" s="63"/>
      <c r="E30" s="63"/>
      <c r="F30" s="63"/>
      <c r="G30" s="63"/>
      <c r="H30" s="63"/>
      <c r="I30" s="63"/>
      <c r="J30" s="86">
        <f>J11+J15+J22+J29</f>
        <v>14</v>
      </c>
      <c r="K30" s="86">
        <f>K11+K15+K22+K29</f>
        <v>18</v>
      </c>
      <c r="L30" s="86">
        <f>L11+L15+L22+L29</f>
        <v>15</v>
      </c>
      <c r="M30" s="86">
        <f>M11+M15+M22+M29</f>
        <v>1</v>
      </c>
      <c r="N30" s="86">
        <f>N11+N15+N22+N29</f>
        <v>48</v>
      </c>
      <c r="O30" s="4"/>
      <c r="P30" s="4"/>
    </row>
    <row r="31" spans="1:16">
      <c r="A31" s="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4"/>
      <c r="P31" s="4"/>
    </row>
    <row r="32" spans="1:16" ht="20.100000000000001" customHeight="1">
      <c r="A32" s="4"/>
      <c r="B32" s="69" t="s">
        <v>85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4"/>
      <c r="P32" s="4"/>
    </row>
    <row r="33" spans="1:16" ht="24.95" customHeight="1">
      <c r="A33" s="4"/>
      <c r="B33" s="69" t="s">
        <v>370</v>
      </c>
      <c r="C33" s="69"/>
      <c r="D33" s="69"/>
      <c r="E33" s="68" t="s">
        <v>371</v>
      </c>
      <c r="F33" s="68"/>
      <c r="G33" s="68"/>
      <c r="H33" s="68"/>
      <c r="I33" s="68"/>
      <c r="J33" s="68"/>
      <c r="K33" s="68"/>
      <c r="L33" s="68"/>
      <c r="M33" s="68"/>
      <c r="N33" s="68"/>
      <c r="O33" s="4"/>
      <c r="P33" s="4"/>
    </row>
    <row r="34" spans="1:16" ht="24.95" customHeight="1">
      <c r="A34" s="4"/>
      <c r="B34" s="69" t="s">
        <v>372</v>
      </c>
      <c r="C34" s="69"/>
      <c r="D34" s="69"/>
      <c r="E34" s="68" t="s">
        <v>373</v>
      </c>
      <c r="F34" s="68"/>
      <c r="G34" s="68"/>
      <c r="H34" s="68"/>
      <c r="I34" s="68"/>
      <c r="J34" s="68"/>
      <c r="K34" s="68"/>
      <c r="L34" s="68"/>
      <c r="M34" s="68"/>
      <c r="N34" s="68"/>
      <c r="O34" s="4"/>
      <c r="P34" s="4"/>
    </row>
    <row r="35" spans="1:16" ht="24.95" customHeight="1">
      <c r="A35" s="4"/>
      <c r="B35" s="69" t="s">
        <v>374</v>
      </c>
      <c r="C35" s="69"/>
      <c r="D35" s="69"/>
      <c r="E35" s="68" t="s">
        <v>375</v>
      </c>
      <c r="F35" s="68"/>
      <c r="G35" s="68"/>
      <c r="H35" s="68"/>
      <c r="I35" s="68"/>
      <c r="J35" s="68"/>
      <c r="K35" s="68"/>
      <c r="L35" s="68"/>
      <c r="M35" s="68"/>
      <c r="N35" s="68"/>
      <c r="O35" s="4"/>
      <c r="P35" s="4"/>
    </row>
    <row r="36" spans="1:16" ht="24.95" customHeight="1">
      <c r="A36" s="4"/>
      <c r="B36" s="69" t="s">
        <v>376</v>
      </c>
      <c r="C36" s="69"/>
      <c r="D36" s="69"/>
      <c r="E36" s="68" t="s">
        <v>377</v>
      </c>
      <c r="F36" s="68"/>
      <c r="G36" s="68"/>
      <c r="H36" s="68"/>
      <c r="I36" s="68"/>
      <c r="J36" s="68"/>
      <c r="K36" s="68"/>
      <c r="L36" s="68"/>
      <c r="M36" s="68"/>
      <c r="N36" s="68"/>
      <c r="O36" s="4"/>
      <c r="P36" s="4"/>
    </row>
    <row r="37" spans="1:16">
      <c r="A37" s="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4"/>
      <c r="P37" s="4"/>
    </row>
    <row r="38" spans="1:16" ht="27.4" customHeight="1">
      <c r="A38" s="4"/>
      <c r="B38" s="87" t="s">
        <v>100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4"/>
      <c r="P38" s="4"/>
    </row>
    <row r="39" spans="1:16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</row>
    <row r="40" spans="1:16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</row>
  </sheetData>
  <mergeCells count="37">
    <mergeCell ref="B35:D35"/>
    <mergeCell ref="E35:N35"/>
    <mergeCell ref="B36:D36"/>
    <mergeCell ref="E36:N36"/>
    <mergeCell ref="B38:N38"/>
    <mergeCell ref="B30:I30"/>
    <mergeCell ref="B32:N32"/>
    <mergeCell ref="B33:D33"/>
    <mergeCell ref="E33:N33"/>
    <mergeCell ref="B34:D34"/>
    <mergeCell ref="E34:N34"/>
    <mergeCell ref="B15:I15"/>
    <mergeCell ref="B16:C21"/>
    <mergeCell ref="B22:I22"/>
    <mergeCell ref="B23:C28"/>
    <mergeCell ref="B29:I29"/>
    <mergeCell ref="M6:M7"/>
    <mergeCell ref="N6:N7"/>
    <mergeCell ref="B8:C10"/>
    <mergeCell ref="B11:I11"/>
    <mergeCell ref="B12:C14"/>
    <mergeCell ref="H6:H7"/>
    <mergeCell ref="I6:I7"/>
    <mergeCell ref="J6:J7"/>
    <mergeCell ref="K6:K7"/>
    <mergeCell ref="L6:L7"/>
    <mergeCell ref="B6:C7"/>
    <mergeCell ref="D6:D7"/>
    <mergeCell ref="E6:E7"/>
    <mergeCell ref="F6:F7"/>
    <mergeCell ref="G6:G7"/>
    <mergeCell ref="B2:N3"/>
    <mergeCell ref="B4:C5"/>
    <mergeCell ref="D4:D5"/>
    <mergeCell ref="E4:E5"/>
    <mergeCell ref="F4:I5"/>
    <mergeCell ref="J4:N5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Gestor</vt:lpstr>
      <vt:lpstr>Cliente</vt:lpstr>
      <vt:lpstr>Administrador</vt:lpstr>
      <vt:lpstr>Organización</vt:lpstr>
      <vt:lpstr>Leodeguita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Darwin Leonardo Diaz Gonzalez</cp:lastModifiedBy>
  <cp:revision>1</cp:revision>
  <dcterms:created xsi:type="dcterms:W3CDTF">2026-07-07T16:55:52Z</dcterms:created>
  <dcterms:modified xsi:type="dcterms:W3CDTF">2026-07-09T02:19:08Z</dcterms:modified>
  <cp:category/>
  <cp:contentStatus/>
</cp:coreProperties>
</file>